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ealvalpvtltd-my.sharepoint.com/personal/dmoondra_therealval_com/Documents/Creative RE/uw_app/"/>
    </mc:Choice>
  </mc:AlternateContent>
  <xr:revisionPtr revIDLastSave="249" documentId="11_508BA55B1A64B2E6E80998A03F6B2BEDD8F8E604" xr6:coauthVersionLast="47" xr6:coauthVersionMax="47" xr10:uidLastSave="{8A85E0DB-C134-45BA-9CF7-AA44522AB8E6}"/>
  <bookViews>
    <workbookView xWindow="-110" yWindow="-110" windowWidth="19420" windowHeight="10300" activeTab="2" xr2:uid="{00000000-000D-0000-FFFF-FFFF00000000}"/>
  </bookViews>
  <sheets>
    <sheet name="Trend Health Score" sheetId="1" r:id="rId1"/>
    <sheet name="Anchors &amp; Notes" sheetId="2" r:id="rId2"/>
    <sheet name="T12" sheetId="3" r:id="rId3"/>
    <sheet name="Rent Roll" sheetId="4" r:id="rId4"/>
  </sheets>
  <definedNames>
    <definedName name="___wrn2" localSheetId="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wrn3" localSheetId="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123Graph_A" localSheetId="3" hidden="1">#REF!</definedName>
    <definedName name="__123Graph_A" hidden="1">#REF!</definedName>
    <definedName name="__123Graph_ACOLLECTIONS" localSheetId="3" hidden="1">#REF!</definedName>
    <definedName name="__123Graph_ACOLLECTIONS" hidden="1">#REF!</definedName>
    <definedName name="__123Graph_B" localSheetId="3" hidden="1">#REF!</definedName>
    <definedName name="__123Graph_B" hidden="1">#REF!</definedName>
    <definedName name="__123Graph_BCOLLECTIONS" localSheetId="3" hidden="1">#REF!</definedName>
    <definedName name="__123Graph_BCOLLECTIONS" hidden="1">#REF!</definedName>
    <definedName name="__123Graph_C" localSheetId="3" hidden="1">#REF!</definedName>
    <definedName name="__123Graph_C" hidden="1">#REF!</definedName>
    <definedName name="__123Graph_D" localSheetId="3" hidden="1">#REF!</definedName>
    <definedName name="__123Graph_D" hidden="1">#REF!</definedName>
    <definedName name="__123Graph_E" localSheetId="3" hidden="1">#REF!</definedName>
    <definedName name="__123Graph_E" hidden="1">#REF!</definedName>
    <definedName name="__123Graph_X" localSheetId="3" hidden="1">#REF!</definedName>
    <definedName name="__123Graph_X" hidden="1">#REF!</definedName>
    <definedName name="__123Graph_XCOLLECTIONS" localSheetId="3" hidden="1">#REF!</definedName>
    <definedName name="__123Graph_XCOLLECTIONS" hidden="1">#REF!</definedName>
    <definedName name="__FDS_HYPERLINK_TOGGLE_STATE__" hidden="1">"ON"</definedName>
    <definedName name="__IntlFixup" hidden="1">TRUE</definedName>
    <definedName name="__wrn2" localSheetId="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wrn3" localSheetId="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1__123Graph_ACHART_1" localSheetId="3" hidden="1">#REF!</definedName>
    <definedName name="_1__123Graph_ACHART_1" hidden="1">#REF!</definedName>
    <definedName name="_10__123Graph_XCHART_2" localSheetId="3" hidden="1">#REF!</definedName>
    <definedName name="_10__123Graph_XCHART_2" hidden="1">#REF!</definedName>
    <definedName name="_100__123Graph_XChart_5" localSheetId="3" hidden="1">#REF!</definedName>
    <definedName name="_100__123Graph_XChart_5" hidden="1">#REF!</definedName>
    <definedName name="_101__123Graph_XChart_6" localSheetId="3" hidden="1">#REF!</definedName>
    <definedName name="_101__123Graph_XChart_6" hidden="1">#REF!</definedName>
    <definedName name="_11__123Graph_XCHART_3" localSheetId="3" hidden="1">#REF!</definedName>
    <definedName name="_11__123Graph_XCHART_3" hidden="1">#REF!</definedName>
    <definedName name="_2__123Graph_ACHART_2" localSheetId="3" hidden="1">#REF!</definedName>
    <definedName name="_2__123Graph_ACHART_2" hidden="1">#REF!</definedName>
    <definedName name="_22__123Graph_A_Chart_1A" localSheetId="3" hidden="1">#REF!</definedName>
    <definedName name="_22__123Graph_A_Chart_1A" hidden="1">#REF!</definedName>
    <definedName name="_23__123Graph_AChart_1" localSheetId="3" hidden="1">#REF!</definedName>
    <definedName name="_23__123Graph_AChart_1" hidden="1">#REF!</definedName>
    <definedName name="_24__123Graph_ACHART_19" localSheetId="3" hidden="1">#REF!</definedName>
    <definedName name="_24__123Graph_ACHART_19" hidden="1">#REF!</definedName>
    <definedName name="_25__123Graph_AChart_2" localSheetId="3" hidden="1">#REF!</definedName>
    <definedName name="_25__123Graph_AChart_2" hidden="1">#REF!</definedName>
    <definedName name="_26__123Graph_ACHART_20" localSheetId="3" hidden="1">#REF!</definedName>
    <definedName name="_26__123Graph_ACHART_20" hidden="1">#REF!</definedName>
    <definedName name="_27__123Graph_ACHART_22" localSheetId="3" hidden="1">#REF!</definedName>
    <definedName name="_27__123Graph_ACHART_22" hidden="1">#REF!</definedName>
    <definedName name="_28__123Graph_ACHART_23" localSheetId="3" hidden="1">#REF!</definedName>
    <definedName name="_28__123Graph_ACHART_23" hidden="1">#REF!</definedName>
    <definedName name="_29__123Graph_AChart_3" localSheetId="3" hidden="1">#REF!</definedName>
    <definedName name="_29__123Graph_AChart_3" hidden="1">#REF!</definedName>
    <definedName name="_3__123Graph_ACHART_3" localSheetId="3" hidden="1">#REF!</definedName>
    <definedName name="_3__123Graph_ACHART_3" hidden="1">#REF!</definedName>
    <definedName name="_3__123Graph_BCHART_1" localSheetId="3" hidden="1">#REF!</definedName>
    <definedName name="_3__123Graph_BCHART_1" hidden="1">#REF!</definedName>
    <definedName name="_30__123Graph_AChart_4" localSheetId="3" hidden="1">#REF!</definedName>
    <definedName name="_30__123Graph_AChart_4" hidden="1">#REF!</definedName>
    <definedName name="_31__123Graph_AChart_5" localSheetId="3" hidden="1">#REF!</definedName>
    <definedName name="_31__123Graph_AChart_5" hidden="1">#REF!</definedName>
    <definedName name="_32__123Graph_AChart_6" localSheetId="3" hidden="1">#REF!</definedName>
    <definedName name="_32__123Graph_AChart_6" hidden="1">#REF!</definedName>
    <definedName name="_33__123Graph_B_Chart_1A" localSheetId="3" hidden="1">#REF!</definedName>
    <definedName name="_33__123Graph_B_Chart_1A" hidden="1">#REF!</definedName>
    <definedName name="_34__123Graph_BCHART_12" localSheetId="3" hidden="1">#REF!</definedName>
    <definedName name="_34__123Graph_BCHART_12" hidden="1">#REF!</definedName>
    <definedName name="_35__123Graph_C_Chart_1A" localSheetId="3" hidden="1">#REF!</definedName>
    <definedName name="_35__123Graph_C_Chart_1A" hidden="1">#REF!</definedName>
    <definedName name="_36__123Graph_CCHART_10" localSheetId="3" hidden="1">#REF!</definedName>
    <definedName name="_36__123Graph_CCHART_10" hidden="1">#REF!</definedName>
    <definedName name="_37__123Graph_CCHART_11" localSheetId="3" hidden="1">#REF!</definedName>
    <definedName name="_37__123Graph_CCHART_11" hidden="1">#REF!</definedName>
    <definedName name="_38__123Graph_CCHART_12" localSheetId="3" hidden="1">#REF!</definedName>
    <definedName name="_38__123Graph_CCHART_12" hidden="1">#REF!</definedName>
    <definedName name="_39__123Graph_CCHART_13" localSheetId="3" hidden="1">#REF!</definedName>
    <definedName name="_39__123Graph_CCHART_13" hidden="1">#REF!</definedName>
    <definedName name="_4__123Graph_BCHART_1" localSheetId="3" hidden="1">#REF!</definedName>
    <definedName name="_4__123Graph_BCHART_1" hidden="1">#REF!</definedName>
    <definedName name="_4__123Graph_XCHART_1" localSheetId="3" hidden="1">#REF!</definedName>
    <definedName name="_4__123Graph_XCHART_1" hidden="1">#REF!</definedName>
    <definedName name="_40__123Graph_CCHART_14" localSheetId="3" hidden="1">#REF!</definedName>
    <definedName name="_40__123Graph_CCHART_14" hidden="1">#REF!</definedName>
    <definedName name="_41__123Graph_CCHART_15" localSheetId="3" hidden="1">#REF!</definedName>
    <definedName name="_41__123Graph_CCHART_15" hidden="1">#REF!</definedName>
    <definedName name="_42__123Graph_CCHART_16" localSheetId="3" hidden="1">#REF!</definedName>
    <definedName name="_42__123Graph_CCHART_16" hidden="1">#REF!</definedName>
    <definedName name="_43__123Graph_CCHART_17" localSheetId="3" hidden="1">#REF!</definedName>
    <definedName name="_43__123Graph_CCHART_17" hidden="1">#REF!</definedName>
    <definedName name="_44__123Graph_CCHART_18" localSheetId="3" hidden="1">#REF!</definedName>
    <definedName name="_44__123Graph_CCHART_18" hidden="1">#REF!</definedName>
    <definedName name="_45__123Graph_CCHART_4" localSheetId="3" hidden="1">#REF!</definedName>
    <definedName name="_45__123Graph_CCHART_4" hidden="1">#REF!</definedName>
    <definedName name="_46__123Graph_CCHART_6" localSheetId="3" hidden="1">#REF!</definedName>
    <definedName name="_46__123Graph_CCHART_6" hidden="1">#REF!</definedName>
    <definedName name="_47__123Graph_CCHART_7" localSheetId="3" hidden="1">#REF!</definedName>
    <definedName name="_47__123Graph_CCHART_7" hidden="1">#REF!</definedName>
    <definedName name="_48__123Graph_CCHART_8" localSheetId="3" hidden="1">#REF!</definedName>
    <definedName name="_48__123Graph_CCHART_8" hidden="1">#REF!</definedName>
    <definedName name="_49__123Graph_CCHART_9" localSheetId="3" hidden="1">#REF!</definedName>
    <definedName name="_49__123Graph_CCHART_9" hidden="1">#REF!</definedName>
    <definedName name="_5__123Graph_CCHART_1" localSheetId="3" hidden="1">#REF!</definedName>
    <definedName name="_5__123Graph_CCHART_1" hidden="1">#REF!</definedName>
    <definedName name="_5__123Graph_XCHART_2" localSheetId="3" hidden="1">#REF!</definedName>
    <definedName name="_5__123Graph_XCHART_2" hidden="1">#REF!</definedName>
    <definedName name="_50__123Graph_D_Chart_1A" localSheetId="3" hidden="1">#REF!</definedName>
    <definedName name="_50__123Graph_D_Chart_1A" hidden="1">#REF!</definedName>
    <definedName name="_51__123Graph_DCHART_10" localSheetId="3" hidden="1">#REF!</definedName>
    <definedName name="_51__123Graph_DCHART_10" hidden="1">#REF!</definedName>
    <definedName name="_52__123Graph_DCHART_11" localSheetId="3" hidden="1">#REF!</definedName>
    <definedName name="_52__123Graph_DCHART_11" hidden="1">#REF!</definedName>
    <definedName name="_53__123Graph_DCHART_12" localSheetId="3" hidden="1">#REF!</definedName>
    <definedName name="_53__123Graph_DCHART_12" hidden="1">#REF!</definedName>
    <definedName name="_54__123Graph_DCHART_13" localSheetId="3" hidden="1">#REF!</definedName>
    <definedName name="_54__123Graph_DCHART_13" hidden="1">#REF!</definedName>
    <definedName name="_55__123Graph_DCHART_14" localSheetId="3" hidden="1">#REF!</definedName>
    <definedName name="_55__123Graph_DCHART_14" hidden="1">#REF!</definedName>
    <definedName name="_56__123Graph_DCHART_15" localSheetId="3" hidden="1">#REF!</definedName>
    <definedName name="_56__123Graph_DCHART_15" hidden="1">#REF!</definedName>
    <definedName name="_57__123Graph_DCHART_16" localSheetId="3" hidden="1">#REF!</definedName>
    <definedName name="_57__123Graph_DCHART_16" hidden="1">#REF!</definedName>
    <definedName name="_58__123Graph_DCHART_17" localSheetId="3" hidden="1">#REF!</definedName>
    <definedName name="_58__123Graph_DCHART_17" hidden="1">#REF!</definedName>
    <definedName name="_59__123Graph_DCHART_18" localSheetId="3" hidden="1">#REF!</definedName>
    <definedName name="_59__123Graph_DCHART_18" hidden="1">#REF!</definedName>
    <definedName name="_6__123Graph_DCHART_1" localSheetId="3" hidden="1">#REF!</definedName>
    <definedName name="_6__123Graph_DCHART_1" hidden="1">#REF!</definedName>
    <definedName name="_60__123Graph_DCHART_4" localSheetId="3" hidden="1">#REF!</definedName>
    <definedName name="_60__123Graph_DCHART_4" hidden="1">#REF!</definedName>
    <definedName name="_61__123Graph_DCHART_6" localSheetId="3" hidden="1">#REF!</definedName>
    <definedName name="_61__123Graph_DCHART_6" hidden="1">#REF!</definedName>
    <definedName name="_62__123Graph_DCHART_7" localSheetId="3" hidden="1">#REF!</definedName>
    <definedName name="_62__123Graph_DCHART_7" hidden="1">#REF!</definedName>
    <definedName name="_63__123Graph_DCHART_8" localSheetId="3" hidden="1">#REF!</definedName>
    <definedName name="_63__123Graph_DCHART_8" hidden="1">#REF!</definedName>
    <definedName name="_64__123Graph_DCHART_9" localSheetId="3" hidden="1">#REF!</definedName>
    <definedName name="_64__123Graph_DCHART_9" hidden="1">#REF!</definedName>
    <definedName name="_65__123Graph_E_Chart_1A" localSheetId="3" hidden="1">#REF!</definedName>
    <definedName name="_65__123Graph_E_Chart_1A" hidden="1">#REF!</definedName>
    <definedName name="_66__123Graph_ECHART_10" localSheetId="3" hidden="1">#REF!</definedName>
    <definedName name="_66__123Graph_ECHART_10" hidden="1">#REF!</definedName>
    <definedName name="_67__123Graph_ECHART_11" localSheetId="3" hidden="1">#REF!</definedName>
    <definedName name="_67__123Graph_ECHART_11" hidden="1">#REF!</definedName>
    <definedName name="_68__123Graph_ECHART_12" localSheetId="3" hidden="1">#REF!</definedName>
    <definedName name="_68__123Graph_ECHART_12" hidden="1">#REF!</definedName>
    <definedName name="_69__123Graph_ECHART_13" localSheetId="3" hidden="1">#REF!</definedName>
    <definedName name="_69__123Graph_ECHART_13" hidden="1">#REF!</definedName>
    <definedName name="_7__123Graph_ECHART_1" localSheetId="3" hidden="1">#REF!</definedName>
    <definedName name="_7__123Graph_ECHART_1" hidden="1">#REF!</definedName>
    <definedName name="_70__123Graph_ECHART_14" localSheetId="3" hidden="1">#REF!</definedName>
    <definedName name="_70__123Graph_ECHART_14" hidden="1">#REF!</definedName>
    <definedName name="_71__123Graph_ECHART_15" localSheetId="3" hidden="1">#REF!</definedName>
    <definedName name="_71__123Graph_ECHART_15" hidden="1">#REF!</definedName>
    <definedName name="_72__123Graph_ECHART_16" localSheetId="3" hidden="1">#REF!</definedName>
    <definedName name="_72__123Graph_ECHART_16" hidden="1">#REF!</definedName>
    <definedName name="_73__123Graph_ECHART_17" localSheetId="3" hidden="1">#REF!</definedName>
    <definedName name="_73__123Graph_ECHART_17" hidden="1">#REF!</definedName>
    <definedName name="_74__123Graph_ECHART_18" localSheetId="3" hidden="1">#REF!</definedName>
    <definedName name="_74__123Graph_ECHART_18" hidden="1">#REF!</definedName>
    <definedName name="_75__123Graph_ECHART_4" localSheetId="3" hidden="1">#REF!</definedName>
    <definedName name="_75__123Graph_ECHART_4" hidden="1">#REF!</definedName>
    <definedName name="_76__123Graph_ECHART_6" localSheetId="3" hidden="1">#REF!</definedName>
    <definedName name="_76__123Graph_ECHART_6" hidden="1">#REF!</definedName>
    <definedName name="_77__123Graph_ECHART_7" localSheetId="3" hidden="1">#REF!</definedName>
    <definedName name="_77__123Graph_ECHART_7" hidden="1">#REF!</definedName>
    <definedName name="_78__123Graph_ECHART_8" localSheetId="3" hidden="1">#REF!</definedName>
    <definedName name="_78__123Graph_ECHART_8" hidden="1">#REF!</definedName>
    <definedName name="_79__123Graph_ECHART_9" localSheetId="3" hidden="1">#REF!</definedName>
    <definedName name="_79__123Graph_ECHART_9" hidden="1">#REF!</definedName>
    <definedName name="_8__123Graph_FCHART_1" localSheetId="3" hidden="1">#REF!</definedName>
    <definedName name="_8__123Graph_FCHART_1" hidden="1">#REF!</definedName>
    <definedName name="_80__123Graph_F_Chart_1A" localSheetId="3" hidden="1">#REF!</definedName>
    <definedName name="_80__123Graph_F_Chart_1A" hidden="1">#REF!</definedName>
    <definedName name="_81__123Graph_FCHART_10" localSheetId="3" hidden="1">#REF!</definedName>
    <definedName name="_81__123Graph_FCHART_10" hidden="1">#REF!</definedName>
    <definedName name="_82__123Graph_FCHART_11" localSheetId="3" hidden="1">#REF!</definedName>
    <definedName name="_82__123Graph_FCHART_11" hidden="1">#REF!</definedName>
    <definedName name="_83__123Graph_FCHART_12" localSheetId="3" hidden="1">#REF!</definedName>
    <definedName name="_83__123Graph_FCHART_12" hidden="1">#REF!</definedName>
    <definedName name="_84__123Graph_FCHART_13" localSheetId="3" hidden="1">#REF!</definedName>
    <definedName name="_84__123Graph_FCHART_13" hidden="1">#REF!</definedName>
    <definedName name="_85__123Graph_FCHART_14" localSheetId="3" hidden="1">#REF!</definedName>
    <definedName name="_85__123Graph_FCHART_14" hidden="1">#REF!</definedName>
    <definedName name="_86__123Graph_FCHART_15" localSheetId="3" hidden="1">#REF!</definedName>
    <definedName name="_86__123Graph_FCHART_15" hidden="1">#REF!</definedName>
    <definedName name="_87__123Graph_FCHART_16" localSheetId="3" hidden="1">#REF!</definedName>
    <definedName name="_87__123Graph_FCHART_16" hidden="1">#REF!</definedName>
    <definedName name="_88__123Graph_FCHART_4" localSheetId="3" hidden="1">#REF!</definedName>
    <definedName name="_88__123Graph_FCHART_4" hidden="1">#REF!</definedName>
    <definedName name="_89__123Graph_FCHART_6" localSheetId="3" hidden="1">#REF!</definedName>
    <definedName name="_89__123Graph_FCHART_6" hidden="1">#REF!</definedName>
    <definedName name="_9__123Graph_XCHART_1" localSheetId="3" hidden="1">#REF!</definedName>
    <definedName name="_9__123Graph_XCHART_1" hidden="1">#REF!</definedName>
    <definedName name="_90__123Graph_FCHART_7" localSheetId="3" hidden="1">#REF!</definedName>
    <definedName name="_90__123Graph_FCHART_7" hidden="1">#REF!</definedName>
    <definedName name="_91__123Graph_FCHART_8" localSheetId="3" hidden="1">#REF!</definedName>
    <definedName name="_91__123Graph_FCHART_8" hidden="1">#REF!</definedName>
    <definedName name="_92__123Graph_FCHART_9" localSheetId="3" hidden="1">#REF!</definedName>
    <definedName name="_92__123Graph_FCHART_9" hidden="1">#REF!</definedName>
    <definedName name="_93__123Graph_X_Chart_1A" localSheetId="3" hidden="1">#REF!</definedName>
    <definedName name="_93__123Graph_X_Chart_1A" hidden="1">#REF!</definedName>
    <definedName name="_94__123Graph_XChart_1" localSheetId="3" hidden="1">#REF!</definedName>
    <definedName name="_94__123Graph_XChart_1" hidden="1">#REF!</definedName>
    <definedName name="_95__123Graph_XChart_2" localSheetId="3" hidden="1">#REF!</definedName>
    <definedName name="_95__123Graph_XChart_2" hidden="1">#REF!</definedName>
    <definedName name="_96__123Graph_XCHART_20" localSheetId="3" hidden="1">#REF!</definedName>
    <definedName name="_96__123Graph_XCHART_20" hidden="1">#REF!</definedName>
    <definedName name="_97__123Graph_XCHART_23" localSheetId="3" hidden="1">#REF!</definedName>
    <definedName name="_97__123Graph_XCHART_23" hidden="1">#REF!</definedName>
    <definedName name="_98__123Graph_XChart_3" localSheetId="3" hidden="1">#REF!</definedName>
    <definedName name="_98__123Graph_XChart_3" hidden="1">#REF!</definedName>
    <definedName name="_99__123Graph_XChart_4" localSheetId="3" hidden="1">#REF!</definedName>
    <definedName name="_99__123Graph_XChart_4" hidden="1">#REF!</definedName>
    <definedName name="_b2" localSheetId="3" hidden="1">{"PVGraph2",#N/A,FALSE,"PV Data"}</definedName>
    <definedName name="_b2" hidden="1">{"PVGraph2",#N/A,FALSE,"PV Data"}</definedName>
    <definedName name="_bdm.CAAD75B892744DA7A396804116BF19C2.edm" localSheetId="3" hidden="1">#REF!</definedName>
    <definedName name="_bdm.CAAD75B892744DA7A396804116BF19C2.edm" hidden="1">#REF!</definedName>
    <definedName name="_bdm.FB8D8AB244B64BB9B4F5F5A4C5205085.edm" localSheetId="3" hidden="1">#REF!</definedName>
    <definedName name="_bdm.FB8D8AB244B64BB9B4F5F5A4C5205085.edm" hidden="1">#REF!</definedName>
    <definedName name="_Example" localSheetId="3" hidden="1">#REF!</definedName>
    <definedName name="_Example" hidden="1">#REF!</definedName>
    <definedName name="_Fill" localSheetId="3" hidden="1">#REF!</definedName>
    <definedName name="_Fill" hidden="1">#REF!</definedName>
    <definedName name="_xlnm._FilterDatabase" localSheetId="3" hidden="1">'Rent Roll'!$C$7:$AU$7</definedName>
    <definedName name="_xlnm._FilterDatabase" localSheetId="2" hidden="1">'T12'!$B$8:$AD$8</definedName>
    <definedName name="_I2" localSheetId="3" hidden="1">{"PVGraph2",#N/A,FALSE,"PV Data"}</definedName>
    <definedName name="_I2" hidden="1">{"PVGraph2",#N/A,FALSE,"PV Data"}</definedName>
    <definedName name="_I22" localSheetId="3" hidden="1">{"PVGraph2",#N/A,FALSE,"PV Data"}</definedName>
    <definedName name="_I22" hidden="1">{"PVGraph2",#N/A,FALSE,"PV Data"}</definedName>
    <definedName name="_I3" localSheetId="3" hidden="1">{"PVGraph2",#N/A,FALSE,"PV Data"}</definedName>
    <definedName name="_I3" hidden="1">{"PVGraph2",#N/A,FALSE,"PV Data"}</definedName>
    <definedName name="_II2" localSheetId="3" hidden="1">{"PVGraph2",#N/A,FALSE,"PV Data"}</definedName>
    <definedName name="_II2" hidden="1">{"PVGraph2",#N/A,FALSE,"PV Data"}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Look" localSheetId="3" hidden="1">#REF!</definedName>
    <definedName name="_Look" hidden="1">#REF!</definedName>
    <definedName name="_Order1" hidden="1">0</definedName>
    <definedName name="_Order2" hidden="1">255</definedName>
    <definedName name="_q234" localSheetId="3" hidden="1">#REF!</definedName>
    <definedName name="_q234" hidden="1">#REF!</definedName>
    <definedName name="_Regression_Int" hidden="1">1</definedName>
    <definedName name="_s1" localSheetId="3" hidden="1">#REF!</definedName>
    <definedName name="_s1" hidden="1">#REF!</definedName>
    <definedName name="_s2" localSheetId="3" hidden="1">#REF!</definedName>
    <definedName name="_s2" hidden="1">#REF!</definedName>
    <definedName name="_s3" localSheetId="3" hidden="1">#REF!</definedName>
    <definedName name="_s3" hidden="1">#REF!</definedName>
    <definedName name="_s4" localSheetId="3" hidden="1">#REF!</definedName>
    <definedName name="_s4" hidden="1">#REF!</definedName>
    <definedName name="_s5" localSheetId="3" hidden="1">#REF!</definedName>
    <definedName name="_s5" hidden="1">#REF!</definedName>
    <definedName name="_s6" localSheetId="3" hidden="1">#REF!</definedName>
    <definedName name="_s6" hidden="1">#REF!</definedName>
    <definedName name="_Series" localSheetId="3" hidden="1">#REF!</definedName>
    <definedName name="_Series" hidden="1">#REF!</definedName>
    <definedName name="_Shading" localSheetId="3" hidden="1">#REF!</definedName>
    <definedName name="_Shading" hidden="1">#REF!</definedName>
    <definedName name="_Sort" localSheetId="3" hidden="1">#REF!</definedName>
    <definedName name="_Sort" hidden="1">#REF!</definedName>
    <definedName name="_Table1_In1" localSheetId="3" hidden="1">#REF!</definedName>
    <definedName name="_Table1_In1" hidden="1">#REF!</definedName>
    <definedName name="_Table1_In2" localSheetId="3" hidden="1">#REF!</definedName>
    <definedName name="_Table1_In2" hidden="1">#REF!</definedName>
    <definedName name="_Table1_Out" localSheetId="3" hidden="1">#REF!</definedName>
    <definedName name="_Table1_Out" hidden="1">#REF!</definedName>
    <definedName name="_Table2_In1" localSheetId="3" hidden="1">#REF!</definedName>
    <definedName name="_Table2_In1" hidden="1">#REF!</definedName>
    <definedName name="_Table2_In2" localSheetId="3" hidden="1">#REF!</definedName>
    <definedName name="_Table2_In2" hidden="1">#REF!</definedName>
    <definedName name="_Table2_Out" localSheetId="3" hidden="1">#REF!</definedName>
    <definedName name="_Table2_Out" hidden="1">#REF!</definedName>
    <definedName name="_w1" localSheetId="3" hidden="1">{"PVGraph2",#N/A,FALSE,"PV Data"}</definedName>
    <definedName name="_w1" hidden="1">{"PVGraph2",#N/A,FALSE,"PV Data"}</definedName>
    <definedName name="_w2" localSheetId="3" hidden="1">{"PVGraph2",#N/A,FALSE,"PV Data"}</definedName>
    <definedName name="_w2" hidden="1">{"PVGraph2",#N/A,FALSE,"PV Data"}</definedName>
    <definedName name="_w3" localSheetId="3" hidden="1">{"PVGraph2",#N/A,FALSE,"PV Data"}</definedName>
    <definedName name="_w3" hidden="1">{"PVGraph2",#N/A,FALSE,"PV Data"}</definedName>
    <definedName name="_w9" localSheetId="3" hidden="1">{"PVGraph2",#N/A,FALSE,"PV Data"}</definedName>
    <definedName name="_w9" hidden="1">{"PVGraph2",#N/A,FALSE,"PV Data"}</definedName>
    <definedName name="_wer33" localSheetId="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rn2" localSheetId="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3" localSheetId="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x1" localSheetId="3" hidden="1">{#N/A,#N/A,FALSE,"WATCHDSC";#N/A,#N/A,FALSE,"2LOSSMOD";#N/A,#N/A,FALSE,"2LOSS";#N/A,#N/A,FALSE,"DSC";#N/A,#N/A,FALSE,"OPERAT";#N/A,#N/A,FALSE,"ADJUST";#N/A,#N/A,FALSE,"LEASE EXPIRE"}</definedName>
    <definedName name="_x1" hidden="1">{#N/A,#N/A,FALSE,"WATCHDSC";#N/A,#N/A,FALSE,"2LOSSMOD";#N/A,#N/A,FALSE,"2LOSS";#N/A,#N/A,FALSE,"DSC";#N/A,#N/A,FALSE,"OPERAT";#N/A,#N/A,FALSE,"ADJUST";#N/A,#N/A,FALSE,"LEASE EXPIRE"}</definedName>
    <definedName name="_x2" localSheetId="3" hidden="1">{#N/A,#N/A,FALSE,"WATCHDSC";#N/A,#N/A,FALSE,"2LOSSMOD";#N/A,#N/A,FALSE,"2LOSS";#N/A,#N/A,FALSE,"DSC";#N/A,#N/A,FALSE,"OPERAT";#N/A,#N/A,FALSE,"ADJUST";#N/A,#N/A,FALSE,"LEASE EXPIRE"}</definedName>
    <definedName name="_x2" hidden="1">{#N/A,#N/A,FALSE,"WATCHDSC";#N/A,#N/A,FALSE,"2LOSSMOD";#N/A,#N/A,FALSE,"2LOSS";#N/A,#N/A,FALSE,"DSC";#N/A,#N/A,FALSE,"OPERAT";#N/A,#N/A,FALSE,"ADJUST";#N/A,#N/A,FALSE,"LEASE EXPIRE"}</definedName>
    <definedName name="_x3" localSheetId="3" hidden="1">{#N/A,#N/A,FALSE,"WATCHDSC";#N/A,#N/A,FALSE,"2LOSSMOD";#N/A,#N/A,FALSE,"2LOSS";#N/A,#N/A,FALSE,"DSC";#N/A,#N/A,FALSE,"OPERAT";#N/A,#N/A,FALSE,"ADJUST";#N/A,#N/A,FALSE,"LEASE EXPIRE"}</definedName>
    <definedName name="_x3" hidden="1">{#N/A,#N/A,FALSE,"WATCHDSC";#N/A,#N/A,FALSE,"2LOSSMOD";#N/A,#N/A,FALSE,"2LOSS";#N/A,#N/A,FALSE,"DSC";#N/A,#N/A,FALSE,"OPERAT";#N/A,#N/A,FALSE,"ADJUST";#N/A,#N/A,FALSE,"LEASE EXPIRE"}</definedName>
    <definedName name="_y2" localSheetId="3" hidden="1">{"PVGraph2",#N/A,FALSE,"PV Data"}</definedName>
    <definedName name="_y2" hidden="1">{"PVGraph2",#N/A,FALSE,"PV Data"}</definedName>
    <definedName name="a" localSheetId="3" hidden="1">#REF!</definedName>
    <definedName name="a" hidden="1">#REF!</definedName>
    <definedName name="aa" localSheetId="3" hidden="1">{"toc1",#N/A,FALSE,"TOC";"cover",#N/A,FALSE,"Cover";"ts1",#N/A,FALSE,"Transaction Summary";"ei3",#N/A,FALSE,"Earnings Impact";"ad3",#N/A,FALSE,"accretion dilution"}</definedName>
    <definedName name="aa" hidden="1">{"toc1",#N/A,FALSE,"TOC";"cover",#N/A,FALSE,"Cover";"ts1",#N/A,FALSE,"Transaction Summary";"ei3",#N/A,FALSE,"Earnings Impact";"ad3",#N/A,FALSE,"accretion dilution"}</definedName>
    <definedName name="aa.2" localSheetId="3" hidden="1">{#N/A,#N/A,FALSE,"Cashflow Analysis";#N/A,#N/A,FALSE,"Sensitivity Analysis";#N/A,#N/A,FALSE,"PV";#N/A,#N/A,FALSE,"Pro Forma"}</definedName>
    <definedName name="aa.2" hidden="1">{#N/A,#N/A,FALSE,"Cashflow Analysis";#N/A,#N/A,FALSE,"Sensitivity Analysis";#N/A,#N/A,FALSE,"PV";#N/A,#N/A,FALSE,"Pro Forma"}</definedName>
    <definedName name="aaa" localSheetId="3" hidden="1">{"AnnualRentRoll",#N/A,FALSE,"RentRoll"}</definedName>
    <definedName name="aaa" hidden="1">{"AnnualRentRoll",#N/A,FALSE,"RentRoll"}</definedName>
    <definedName name="AAA_DOCTOPS" hidden="1">"AAA_SET"</definedName>
    <definedName name="AAA_duser" hidden="1">"OFF"</definedName>
    <definedName name="aaaaaaa" localSheetId="3" hidden="1">{"Outflow 1",#N/A,FALSE,"Outflows-Inflows";"Outflow 2",#N/A,FALSE,"Outflows-Inflows";"Inflow 1",#N/A,FALSE,"Outflows-Inflows";"Inflow 2",#N/A,FALSE,"Outflows-Inflows"}</definedName>
    <definedName name="aaaaaaa" hidden="1">{"Outflow 1",#N/A,FALSE,"Outflows-Inflows";"Outflow 2",#N/A,FALSE,"Outflows-Inflows";"Inflow 1",#N/A,FALSE,"Outflows-Inflows";"Inflow 2",#N/A,FALSE,"Outflows-Inflows"}</definedName>
    <definedName name="AAB_Addin5" hidden="1">"AAB_Description for addin 5,Description for addin 5,Description for addin 5,Description for addin 5,Description for addin 5,Description for addin 5"</definedName>
    <definedName name="aasdfa" localSheetId="3" hidden="1">{"rtn",#N/A,FALSE,"RTN";"tables",#N/A,FALSE,"RTN";"cf",#N/A,FALSE,"CF";"stats",#N/A,FALSE,"Stats";"prop",#N/A,FALSE,"Prop"}</definedName>
    <definedName name="aasdfa" hidden="1">{"rtn",#N/A,FALSE,"RTN";"tables",#N/A,FALSE,"RTN";"cf",#N/A,FALSE,"CF";"stats",#N/A,FALSE,"Stats";"prop",#N/A,FALSE,"Prop"}</definedName>
    <definedName name="anscount" hidden="1">1</definedName>
    <definedName name="as" localSheetId="3" hidden="1">{"Outflow 1",#N/A,FALSE,"Outflows-Inflows";"Outflow 2",#N/A,FALSE,"Outflows-Inflows";"Inflow 1",#N/A,FALSE,"Outflows-Inflows";"Inflow 2",#N/A,FALSE,"Outflows-Inflows"}</definedName>
    <definedName name="as" hidden="1">{"Outflow 1",#N/A,FALSE,"Outflows-Inflows";"Outflow 2",#N/A,FALSE,"Outflows-Inflows";"Inflow 1",#N/A,FALSE,"Outflows-Inflows";"Inflow 2",#N/A,FALSE,"Outflows-Inflows"}</definedName>
    <definedName name="asdasd" localSheetId="3" hidden="1">{"toc1",#N/A,FALSE,"TOC";"cover",#N/A,FALSE,"Cover";"ts1",#N/A,FALSE,"Transaction Summary";"ei3",#N/A,FALSE,"Earnings Impact";"ad3",#N/A,FALSE,"accretion dilution"}</definedName>
    <definedName name="asdasd" hidden="1">{"toc1",#N/A,FALSE,"TOC";"cover",#N/A,FALSE,"Cover";"ts1",#N/A,FALSE,"Transaction Summary";"ei3",#N/A,FALSE,"Earnings Impact";"ad3",#N/A,FALSE,"accretion dilution"}</definedName>
    <definedName name="asdf2" localSheetId="3" hidden="1">{#N/A,#N/A,FALSE,"OperatingAssumptions"}</definedName>
    <definedName name="asdf2" hidden="1">{#N/A,#N/A,FALSE,"OperatingAssumptions"}</definedName>
    <definedName name="asdf3" localSheetId="3" hidden="1">{#N/A,#N/A,FALSE,"LoanAssumptions"}</definedName>
    <definedName name="asdf3" hidden="1">{#N/A,#N/A,FALSE,"LoanAssumptions"}</definedName>
    <definedName name="asdf5" localSheetId="3" hidden="1">{"MonthlyRentRoll",#N/A,FALSE,"RentRoll"}</definedName>
    <definedName name="asdf5" hidden="1">{"MonthlyRentRoll",#N/A,FALSE,"RentRoll"}</definedName>
    <definedName name="asdf7" localSheetId="3" hidden="1">{#N/A,#N/A,TRUE,"Summary";"AnnualRentRoll",#N/A,TRUE,"RentRoll";#N/A,#N/A,TRUE,"ExitStratigy";#N/A,#N/A,TRUE,"OperatingAssumptions"}</definedName>
    <definedName name="asdf7" hidden="1">{#N/A,#N/A,TRUE,"Summary";"AnnualRentRoll",#N/A,TRUE,"RentRoll";#N/A,#N/A,TRUE,"ExitStratigy";#N/A,#N/A,TRUE,"OperatingAssumptions"}</definedName>
    <definedName name="asdfas" localSheetId="3" hidden="1">{"print 1.6",#N/A,FALSE,"Sheet1";"print 2.6",#N/A,FALSE,"Sheet1";"print 3.6",#N/A,FALSE,"Sheet1";"print 4.6",#N/A,FALSE,"Sheet1";"print 5.6",#N/A,FALSE,"Sheet1";"print 6.6",#N/A,FALSE,"Sheet1"}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localSheetId="3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localSheetId="3" hidden="1">{"rtn",#N/A,FALSE,"RTN";"tables",#N/A,FALSE,"RTN";"cf",#N/A,FALSE,"CF";"stats",#N/A,FALSE,"Stats";"prop",#N/A,FALSE,"Prop"}</definedName>
    <definedName name="asdfasdf" hidden="1">{"rtn",#N/A,FALSE,"RTN";"tables",#N/A,FALSE,"RTN";"cf",#N/A,FALSE,"CF";"stats",#N/A,FALSE,"Stats";"prop",#N/A,FALSE,"Prop"}</definedName>
    <definedName name="asdfg" localSheetId="3" hidden="1">{"rtn",#N/A,FALSE,"RTN";"tables",#N/A,FALSE,"RTN";"cf",#N/A,FALSE,"CF";"stats",#N/A,FALSE,"Stats";"prop",#N/A,FALSE,"Prop"}</definedName>
    <definedName name="asdfg" hidden="1">{"rtn",#N/A,FALSE,"RTN";"tables",#N/A,FALSE,"RTN";"cf",#N/A,FALSE,"CF";"stats",#N/A,FALSE,"Stats";"prop",#N/A,FALSE,"Prop"}</definedName>
    <definedName name="ass" localSheetId="3" hidden="1">{"print 1.6",#N/A,FALSE,"Sheet1";"print 2.6",#N/A,FALSE,"Sheet1";"print 3.6",#N/A,FALSE,"Sheet1";"print 4.6",#N/A,FALSE,"Sheet1";"print 5.6",#N/A,FALSE,"Sheet1";"print 6.6",#N/A,FALSE,"Sheet1"}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s" localSheetId="3" hidden="1">{"rtn",#N/A,FALSE,"RTN";"tables",#N/A,FALSE,"RTN";"cf",#N/A,FALSE,"CF";"stats",#N/A,FALSE,"Stats";"prop",#N/A,FALSE,"Prop"}</definedName>
    <definedName name="asss" hidden="1">{"rtn",#N/A,FALSE,"RTN";"tables",#N/A,FALSE,"RTN";"cf",#N/A,FALSE,"CF";"stats",#N/A,FALSE,"Stats";"prop",#N/A,FALSE,"Prop"}</definedName>
    <definedName name="b" localSheetId="3" hidden="1">{#N/A,#N/A,FALSE,"ExitStratigy"}</definedName>
    <definedName name="b" hidden="1">{#N/A,#N/A,FALSE,"ExitStratigy"}</definedName>
    <definedName name="BadLink" localSheetId="3" hidden="1">#REF!</definedName>
    <definedName name="BadLink" hidden="1">#REF!</definedName>
    <definedName name="bb" localSheetId="3" hidden="1">{#N/A,#N/A,FALSE,"ExitStratigy"}</definedName>
    <definedName name="bb" hidden="1">{#N/A,#N/A,FALSE,"ExitStratigy"}</definedName>
    <definedName name="bbb" localSheetId="3" hidden="1">{#N/A,#N/A,FALSE,"ExitStratigy"}</definedName>
    <definedName name="bbb" hidden="1">{#N/A,#N/A,FALSE,"ExitStratigy"}</definedName>
    <definedName name="BLPH1" localSheetId="3" hidden="1">#REF!</definedName>
    <definedName name="BLPH1" hidden="1">#REF!</definedName>
    <definedName name="BLPH10" localSheetId="3" hidden="1">#REF!</definedName>
    <definedName name="BLPH10" hidden="1">#REF!</definedName>
    <definedName name="BLPH11" localSheetId="3" hidden="1">#REF!</definedName>
    <definedName name="BLPH11" hidden="1">#REF!</definedName>
    <definedName name="BLPH12" localSheetId="3" hidden="1">#REF!</definedName>
    <definedName name="BLPH12" hidden="1">#REF!</definedName>
    <definedName name="BLPH2" localSheetId="3" hidden="1">#REF!</definedName>
    <definedName name="BLPH2" hidden="1">#REF!</definedName>
    <definedName name="BLPH3" localSheetId="3" hidden="1">#REF!</definedName>
    <definedName name="BLPH3" hidden="1">#REF!</definedName>
    <definedName name="BLPH4" localSheetId="3" hidden="1">#REF!</definedName>
    <definedName name="BLPH4" hidden="1">#REF!</definedName>
    <definedName name="BLPH5" localSheetId="3" hidden="1">#REF!</definedName>
    <definedName name="BLPH5" hidden="1">#REF!</definedName>
    <definedName name="BLPH6" localSheetId="3" hidden="1">#REF!</definedName>
    <definedName name="BLPH6" hidden="1">#REF!</definedName>
    <definedName name="BLPH7" localSheetId="3" hidden="1">#REF!</definedName>
    <definedName name="BLPH7" hidden="1">#REF!</definedName>
    <definedName name="BLPH8" localSheetId="3" hidden="1">#REF!</definedName>
    <definedName name="BLPH8" hidden="1">#REF!</definedName>
    <definedName name="BLPH9" localSheetId="3" hidden="1">#REF!</definedName>
    <definedName name="BLPH9" hidden="1">#REF!</definedName>
    <definedName name="BudgetSumm" localSheetId="3" hidden="1">{#N/A,#N/A,FALSE,"Cashflow Analysis";#N/A,#N/A,FALSE,"Sensitivity Analysis";#N/A,#N/A,FALSE,"PV";#N/A,#N/A,FALSE,"Pro Forma"}</definedName>
    <definedName name="BudgetSumm" hidden="1">{#N/A,#N/A,FALSE,"Cashflow Analysis";#N/A,#N/A,FALSE,"Sensitivity Analysis";#N/A,#N/A,FALSE,"PV";#N/A,#N/A,FALSE,"Pro Forma"}</definedName>
    <definedName name="BudgetSumm.2" localSheetId="3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cc" localSheetId="3" hidden="1">{#N/A,#N/A,FALSE,"LoanAssumptions"}</definedName>
    <definedName name="cc" hidden="1">{#N/A,#N/A,FALSE,"LoanAssumptions"}</definedName>
    <definedName name="ccc" localSheetId="3" hidden="1">{#N/A,#N/A,FALSE,"LoanAssumptions"}</definedName>
    <definedName name="ccc" hidden="1">{#N/A,#N/A,FALSE,"LoanAssumptions"}</definedName>
    <definedName name="check2" localSheetId="3" hidden="1">{#N/A,#N/A,FALSE,"Cashflow Analysis";#N/A,#N/A,FALSE,"Sensitivity Analysis";#N/A,#N/A,FALSE,"PV";#N/A,#N/A,FALSE,"Pro Forma"}</definedName>
    <definedName name="check2" hidden="1">{#N/A,#N/A,FALSE,"Cashflow Analysis";#N/A,#N/A,FALSE,"Sensitivity Analysis";#N/A,#N/A,FALSE,"PV";#N/A,#N/A,FALSE,"Pro Forma"}</definedName>
    <definedName name="construction" localSheetId="3" hidden="1">{"Construction Costs",#N/A,FALSE,"Total Costs"}</definedName>
    <definedName name="construction" hidden="1">{"Construction Costs",#N/A,FALSE,"Total Costs"}</definedName>
    <definedName name="Cottage" localSheetId="3" hidden="1">{"cot1",#N/A,FALSE,"Cottages";"cot2",#N/A,FALSE,"Cottages";"cot3",#N/A,FALSE,"Cottages"}</definedName>
    <definedName name="Cottage" hidden="1">{"cot1",#N/A,FALSE,"Cottages";"cot2",#N/A,FALSE,"Cottages";"cot3",#N/A,FALSE,"Cottages"}</definedName>
    <definedName name="cvb" localSheetId="3" hidden="1">{"toc1",#N/A,FALSE,"TOC";"cover",#N/A,FALSE,"Cover";"ts1",#N/A,FALSE,"Transaction Summary";"ei3",#N/A,FALSE,"Earnings Impact";"ad3",#N/A,FALSE,"accretion dilution"}</definedName>
    <definedName name="cvb" hidden="1">{"toc1",#N/A,FALSE,"TOC";"cover",#N/A,FALSE,"Cover";"ts1",#N/A,FALSE,"Transaction Summary";"ei3",#N/A,FALSE,"Earnings Impact";"ad3",#N/A,FALSE,"accretion dilution"}</definedName>
    <definedName name="cxgxgfgfs" localSheetId="3" hidden="1">{#N/A,#N/A,FALSE,"Cashflow Analysis";#N/A,#N/A,FALSE,"Sensitivity Analysis";#N/A,#N/A,FALSE,"PV";#N/A,#N/A,FALSE,"Pro Forma"}</definedName>
    <definedName name="cxgxgfgfs" hidden="1">{#N/A,#N/A,FALSE,"Cashflow Analysis";#N/A,#N/A,FALSE,"Sensitivity Analysis";#N/A,#N/A,FALSE,"PV";#N/A,#N/A,FALSE,"Pro Forma"}</definedName>
    <definedName name="cxgxgfgfs.2" localSheetId="3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ata" localSheetId="3" hidden="1">{"data",#N/A,FALSE,"INPUT"}</definedName>
    <definedName name="data" hidden="1">{"data",#N/A,FALSE,"INPUT"}</definedName>
    <definedName name="DATA_01" localSheetId="3" hidden="1">#REF!</definedName>
    <definedName name="DATA_01" hidden="1">#REF!</definedName>
    <definedName name="dd" localSheetId="3" hidden="1">{"MonthlyRentRoll",#N/A,FALSE,"RentRoll"}</definedName>
    <definedName name="dd" hidden="1">{"MonthlyRentRoll",#N/A,FALSE,"RentRoll"}</definedName>
    <definedName name="ddd" localSheetId="3" hidden="1">{"MonthlyRentRoll",#N/A,FALSE,"RentRoll"}</definedName>
    <definedName name="ddd" hidden="1">{"MonthlyRentRoll",#N/A,FALSE,"RentRoll"}</definedName>
    <definedName name="Dem" localSheetId="3" hidden="1">{"data",#N/A,FALSE,"INPUT"}</definedName>
    <definedName name="Dem" hidden="1">{"data",#N/A,FALSE,"INPUT"}</definedName>
    <definedName name="df" localSheetId="3" hidden="1">{"toc1",#N/A,FALSE,"TOC";"cover",#N/A,FALSE,"Cover";"ts1",#N/A,FALSE,"Transaction Summary";"ei3",#N/A,FALSE,"Earnings Impact";"ad3",#N/A,FALSE,"accretion dilution"}</definedName>
    <definedName name="df" hidden="1">{"toc1",#N/A,FALSE,"TOC";"cover",#N/A,FALSE,"Cover";"ts1",#N/A,FALSE,"Transaction Summary";"ei3",#N/A,FALSE,"Earnings Impact";"ad3",#N/A,FALSE,"accretion dilution"}</definedName>
    <definedName name="dfg" localSheetId="3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dfg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dfgd" localSheetId="3" hidden="1">{#N/A,#N/A,FALSE,"Cashflow Analysis";#N/A,#N/A,FALSE,"Sensitivity Analysis";#N/A,#N/A,FALSE,"PV";#N/A,#N/A,FALSE,"Pro Forma"}</definedName>
    <definedName name="dfgd" hidden="1">{#N/A,#N/A,FALSE,"Cashflow Analysis";#N/A,#N/A,FALSE,"Sensitivity Analysis";#N/A,#N/A,FALSE,"PV";#N/A,#N/A,FALSE,"Pro Forma"}</definedName>
    <definedName name="dfgt" localSheetId="3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is" localSheetId="3" hidden="1">{#N/A,#N/A,FALSE,"Cashflow Analysis";#N/A,#N/A,FALSE,"Sensitivity Analysis";#N/A,#N/A,FALSE,"PV";#N/A,#N/A,FALSE,"Pro Forma"}</definedName>
    <definedName name="dis" hidden="1">{#N/A,#N/A,FALSE,"Cashflow Analysis";#N/A,#N/A,FALSE,"Sensitivity Analysis";#N/A,#N/A,FALSE,"PV";#N/A,#N/A,FALSE,"Pro Forma"}</definedName>
    <definedName name="dis.2" localSheetId="3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g" localSheetId="3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ee" localSheetId="3" hidden="1">{#N/A,#N/A,FALSE,"OperatingAssumptions"}</definedName>
    <definedName name="ee" hidden="1">{#N/A,#N/A,FALSE,"OperatingAssumptions"}</definedName>
    <definedName name="eee" localSheetId="3" hidden="1">{#N/A,#N/A,FALSE,"OperatingAssumptions"}</definedName>
    <definedName name="eee" hidden="1">{#N/A,#N/A,FALSE,"OperatingAssumptions"}</definedName>
    <definedName name="eh" localSheetId="3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llen" localSheetId="3" hidden="1">{#N/A,#N/A,FALSE,"WATCHDSC";#N/A,#N/A,FALSE,"2LOSSMOD";#N/A,#N/A,FALSE,"2LOSS";#N/A,#N/A,FALSE,"DSC";#N/A,#N/A,FALSE,"OPERAT";#N/A,#N/A,FALSE,"ADJUST";#N/A,#N/A,FALSE,"LEASE EXPIRE"}</definedName>
    <definedName name="ellen" hidden="1">{#N/A,#N/A,FALSE,"WATCHDSC";#N/A,#N/A,FALSE,"2LOSSMOD";#N/A,#N/A,FALSE,"2LOSS";#N/A,#N/A,FALSE,"DSC";#N/A,#N/A,FALSE,"OPERAT";#N/A,#N/A,FALSE,"ADJUST";#N/A,#N/A,FALSE,"LEASE EXPIRE"}</definedName>
    <definedName name="fd" localSheetId="3" hidden="1">#REF!</definedName>
    <definedName name="fd" hidden="1">#REF!</definedName>
    <definedName name="fds" localSheetId="3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ds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f" localSheetId="3" hidden="1">{#N/A,#N/A,TRUE,"Summary";"AnnualRentRoll",#N/A,TRUE,"RentRoll";#N/A,#N/A,TRUE,"ExitStratigy";#N/A,#N/A,TRUE,"OperatingAssumptions"}</definedName>
    <definedName name="ff" hidden="1">{#N/A,#N/A,TRUE,"Summary";"AnnualRentRoll",#N/A,TRUE,"RentRoll";#N/A,#N/A,TRUE,"ExitStratigy";#N/A,#N/A,TRUE,"OperatingAssumptions"}</definedName>
    <definedName name="fff" localSheetId="3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fffff" localSheetId="3" hidden="1">{#N/A,#N/A,FALSE,"Cashflow Analysis";#N/A,#N/A,FALSE,"Sensitivity Analysis";#N/A,#N/A,FALSE,"PV";#N/A,#N/A,FALSE,"Pro Forma"}</definedName>
    <definedName name="ffffff" hidden="1">{#N/A,#N/A,FALSE,"Cashflow Analysis";#N/A,#N/A,FALSE,"Sensitivity Analysis";#N/A,#N/A,FALSE,"PV";#N/A,#N/A,FALSE,"Pro Forma"}</definedName>
    <definedName name="ffffff.2" localSheetId="3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h" localSheetId="3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fh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filler" localSheetId="3" hidden="1">{"Annual Cash Flows",#N/A,FALSE,"Annual Summary"}</definedName>
    <definedName name="filler" hidden="1">{"Annual Cash Flows",#N/A,FALSE,"Annual Summary"}</definedName>
    <definedName name="filler2" localSheetId="3" hidden="1">{"Assumptions",#N/A,FALSE,"Assumptions"}</definedName>
    <definedName name="filler2" hidden="1">{"Assumptions",#N/A,FALSE,"Assumptions"}</definedName>
    <definedName name="filler3" localSheetId="3" hidden="1">{"Construction Costs",#N/A,FALSE,"Total Costs"}</definedName>
    <definedName name="filler3" hidden="1">{"Construction Costs",#N/A,FALSE,"Total Costs"}</definedName>
    <definedName name="g_1" localSheetId="3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1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2" localSheetId="3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2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3" localSheetId="3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3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egeg" localSheetId="3" hidden="1">{#N/A,#N/A,FALSE,"Cashflow Analysis";#N/A,#N/A,FALSE,"Sensitivity Analysis";#N/A,#N/A,FALSE,"PV";#N/A,#N/A,FALSE,"Pro Forma"}</definedName>
    <definedName name="gegeg" hidden="1">{#N/A,#N/A,FALSE,"Cashflow Analysis";#N/A,#N/A,FALSE,"Sensitivity Analysis";#N/A,#N/A,FALSE,"PV";#N/A,#N/A,FALSE,"Pro Forma"}</definedName>
    <definedName name="gegeg.2" localSheetId="3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h" localSheetId="3" hidden="1">{"toc1",#N/A,FALSE,"TOC";"cover",#N/A,FALSE,"Cover";"ts1",#N/A,FALSE,"Transaction Summary";"ei3",#N/A,FALSE,"Earnings Impact";"ad3",#N/A,FALSE,"accretion dilution"}</definedName>
    <definedName name="gfh" hidden="1">{"toc1",#N/A,FALSE,"TOC";"cover",#N/A,FALSE,"Cover";"ts1",#N/A,FALSE,"Transaction Summary";"ei3",#N/A,FALSE,"Earnings Impact";"ad3",#N/A,FALSE,"accretion dilution"}</definedName>
    <definedName name="gg" localSheetId="3" hidden="1">{#N/A,#N/A,FALSE,"PropertyInfo"}</definedName>
    <definedName name="gg" hidden="1">{#N/A,#N/A,FALSE,"PropertyInfo"}</definedName>
    <definedName name="gg.2" localSheetId="3" hidden="1">{#N/A,#N/A,FALSE,"Cashflow Analysis";#N/A,#N/A,FALSE,"Sensitivity Analysis";#N/A,#N/A,FALSE,"PV";#N/A,#N/A,FALSE,"Pro Forma"}</definedName>
    <definedName name="gg.2" hidden="1">{#N/A,#N/A,FALSE,"Cashflow Analysis";#N/A,#N/A,FALSE,"Sensitivity Analysis";#N/A,#N/A,FALSE,"PV";#N/A,#N/A,FALSE,"Pro Forma"}</definedName>
    <definedName name="ggg" localSheetId="3" hidden="1">{#N/A,#N/A,FALSE,"PropertyInfo"}</definedName>
    <definedName name="ggg" hidden="1">{#N/A,#N/A,FALSE,"PropertyInfo"}</definedName>
    <definedName name="h" localSheetId="3" hidden="1">{#N/A,#N/A,FALSE,"PropertyInfo"}</definedName>
    <definedName name="h" hidden="1">{#N/A,#N/A,FALSE,"PropertyInfo"}</definedName>
    <definedName name="hello" localSheetId="3" hidden="1">{#N/A,#N/A,FALSE,"ACQ_GRAPHS";#N/A,#N/A,FALSE,"T_1 GRAPHS";#N/A,#N/A,FALSE,"T_2 GRAPHS";#N/A,#N/A,FALSE,"COMB_GRAPHS"}</definedName>
    <definedName name="hello" hidden="1">{#N/A,#N/A,FALSE,"ACQ_GRAPHS";#N/A,#N/A,FALSE,"T_1 GRAPHS";#N/A,#N/A,FALSE,"T_2 GRAPHS";#N/A,#N/A,FALSE,"COMB_GRAPHS"}</definedName>
    <definedName name="hh" localSheetId="3" hidden="1">{#N/A,#N/A,FALSE,"Summary"}</definedName>
    <definedName name="hh" hidden="1">{#N/A,#N/A,FALSE,"Summary"}</definedName>
    <definedName name="hhh" localSheetId="3" hidden="1">{#N/A,#N/A,FALSE,"Summary"}</definedName>
    <definedName name="hhh" hidden="1">{#N/A,#N/A,FALSE,"Summary"}</definedName>
    <definedName name="htm_control" localSheetId="3" hidden="1">{"'monthy'!$A$1:$H$23"}</definedName>
    <definedName name="htm_control" hidden="1">{"'monthy'!$A$1:$H$23"}</definedName>
    <definedName name="HTML_CodePage" hidden="1">1252</definedName>
    <definedName name="HTML_Control" localSheetId="3" hidden="1">{"'Rent Analysis'!$A$1:$M$45"}</definedName>
    <definedName name="HTML_Control" hidden="1">{"'Rent Analysis'!$A$1:$M$45"}</definedName>
    <definedName name="HTML_Description" hidden="1">""</definedName>
    <definedName name="HTML_Email" hidden="1">"parrish@dynexcapital.com"</definedName>
    <definedName name="HTML_Header" hidden="1">"Rent Analysis"</definedName>
    <definedName name="HTML_LastUpdate" hidden="1">"07/19/98"</definedName>
    <definedName name="HTML_LineAfter" hidden="1">FALSE</definedName>
    <definedName name="HTML_LineBefore" hidden="1">FALSE</definedName>
    <definedName name="HTML_Name" hidden="1">"Russell S. Parrish"</definedName>
    <definedName name="HTML_OBDlg2" hidden="1">TRUE</definedName>
    <definedName name="HTML_OBDlg4" hidden="1">TRUE</definedName>
    <definedName name="HTML_OS" hidden="1">0</definedName>
    <definedName name="HTML_PathFile" hidden="1">"I:\Village Green Apts\MyHTML.htm"</definedName>
    <definedName name="HTML_Title" hidden="1">"Vill Grn Exec Sum Frwrd Excel"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ntroPrintArea" localSheetId="3" hidden="1">#REF!</definedName>
    <definedName name="IntroPrintArea" hidden="1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ERED_DEPOSITS_FDIC" hidden="1">"c6486"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K1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"c373"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1" hidden="1">"IQ_EPS_EST_1"</definedName>
    <definedName name="IQ_EPS_ESTIMATE" hidden="1">"IQ_EPS_EST"</definedName>
    <definedName name="IQ_EPS_HIGH_EST" hidden="1">"c400"</definedName>
    <definedName name="IQ_EPS_LOW_EST" hidden="1">"c401"</definedName>
    <definedName name="IQ_EPS_NUM_EST" hidden="1">"c402"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2YR" hidden="1">"c1637"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S_DEBT_NET" hidden="1">"c751"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SALEPRICE" hidden="1">"c646"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RKETCAP" hidden="1">"c712"</definedName>
    <definedName name="IQ_MATURITY_ONE_YEAR_LESS_FDIC" hidden="1">"c6425"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ICING_FDIC" hidden="1">"c6335"</definedName>
    <definedName name="IQ_MULTIFAMILY_RESIDENTIAL_LOANS_FDIC" hidden="1">"c6311"</definedName>
    <definedName name="IQ_NAMES_REVISION_DATE_" hidden="1">40592.4196990741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TRANSACTION_ACCOUNTS_FDIC" hidden="1">"c6552"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TOTAL_OIL_PRODUCTON" hidden="1">"c2059"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EXP" hidden="1">"c1068"</definedName>
    <definedName name="IQ_PREPAID_EXPEN" hidden="1">"c1068"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"c1126"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LOW_EST" hidden="1">"c1128"</definedName>
    <definedName name="IQ_REVENUE_NUM_EST" hidden="1">"c1129"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IQRA1" hidden="1">"$A$2:$A$129"</definedName>
    <definedName name="IQRB1" hidden="1">"$B$2:$B$129"</definedName>
    <definedName name="IQRC1" hidden="1">"$C$2:$C$129"</definedName>
    <definedName name="junk" localSheetId="3" hidden="1">#REF!</definedName>
    <definedName name="junk" hidden="1">#REF!</definedName>
    <definedName name="junk2" localSheetId="3" hidden="1">#REF!</definedName>
    <definedName name="junk2" hidden="1">#REF!</definedName>
    <definedName name="lank" localSheetId="3" hidden="1">#REF!</definedName>
    <definedName name="lank" hidden="1">#REF!</definedName>
    <definedName name="limcount" hidden="1">1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trix" localSheetId="3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CUwork1" localSheetId="3" hidden="1">{#N/A,#N/A,TRUE,"Summary";#N/A,#N/A,TRUE,"Program Scheme";#N/A,#N/A,TRUE,"Assumptions";#N/A,#N/A,TRUE,"Development Budget &amp; Timing";#N/A,#N/A,TRUE,"Cash Flow";#N/A,#N/A,TRUE,"Cash Flow to Debt &amp; Equity"}</definedName>
    <definedName name="MCUwork1" hidden="1">{#N/A,#N/A,TRUE,"Summary";#N/A,#N/A,TRUE,"Program Scheme";#N/A,#N/A,TRUE,"Assumptions";#N/A,#N/A,TRUE,"Development Budget &amp; Timing";#N/A,#N/A,TRUE,"Cash Flow";#N/A,#N/A,TRUE,"Cash Flow to Debt &amp; Equity"}</definedName>
    <definedName name="MILF1" localSheetId="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1" localSheetId="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2" localSheetId="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3" localSheetId="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Name1" localSheetId="3" hidden="1">{"cot1",#N/A,FALSE,"Cottages";"cot2",#N/A,FALSE,"Cottages";"cot3",#N/A,FALSE,"Cottages"}</definedName>
    <definedName name="Name1" hidden="1">{"cot1",#N/A,FALSE,"Cottages";"cot2",#N/A,FALSE,"Cottages";"cot3",#N/A,FALSE,"Cottages"}</definedName>
    <definedName name="nbmvcmnb" localSheetId="3" hidden="1">{#N/A,#N/A,TRUE,"10 Yr Hold";#N/A,#N/A,TRUE,"7 Yr Hold";#N/A,#N/A,TRUE,"5 Yr Hold";#N/A,#N/A,TRUE,"3 Yr Hold"}</definedName>
    <definedName name="nbmvcmnb" hidden="1">{#N/A,#N/A,TRUE,"10 Yr Hold";#N/A,#N/A,TRUE,"7 Yr Hold";#N/A,#N/A,TRUE,"5 Yr Hold";#N/A,#N/A,TRUE,"3 Yr Hold"}</definedName>
    <definedName name="newrange" localSheetId="3" hidden="1">{"Annual Cash Flows",#N/A,FALSE,"Annual Summary"}</definedName>
    <definedName name="newrange" hidden="1">{"Annual Cash Flows",#N/A,FALSE,"Annual Summary"}</definedName>
    <definedName name="okay" localSheetId="3" hidden="1">{#N/A,#N/A,FALSE,"INPUTS";#N/A,#N/A,FALSE,"PROFORMA BSHEET";#N/A,#N/A,FALSE,"COMBINED";#N/A,#N/A,FALSE,"HIGH YIELD";#N/A,#N/A,FALSE,"COMB_GRAPHS"}</definedName>
    <definedName name="okay" hidden="1">{#N/A,#N/A,FALSE,"INPUTS";#N/A,#N/A,FALSE,"PROFORMA BSHEET";#N/A,#N/A,FALSE,"COMBINED";#N/A,#N/A,FALSE,"HIGH YIELD";#N/A,#N/A,FALSE,"COMB_GRAPHS"}</definedName>
    <definedName name="Print" localSheetId="3" hidden="1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name="Print" hidden="1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name="Print2" localSheetId="3" hidden="1">{#N/A,#N/A,FALSE,"Cover";#N/A,#N/A,FALSE,"Stack";#N/A,#N/A,FALSE,"Cost S";#N/A,#N/A,FALSE," CF";#N/A,#N/A,FALSE,"Investor"}</definedName>
    <definedName name="Print2" hidden="1">{#N/A,#N/A,FALSE,"Cover";#N/A,#N/A,FALSE,"Stack";#N/A,#N/A,FALSE,"Cost S";#N/A,#N/A,FALSE," CF";#N/A,#N/A,FALSE,"Investor"}</definedName>
    <definedName name="promte" localSheetId="3" hidden="1">{"Assumptions",#N/A,FALSE,"Assumptions"}</definedName>
    <definedName name="promte" hidden="1">{"Assumptions",#N/A,FALSE,"Assumptions"}</definedName>
    <definedName name="redo" localSheetId="3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sidu" localSheetId="3" hidden="1">{#N/A,#N/A,TRUE,"Summary";"AnnualRentRoll",#N/A,TRUE,"RentRoll";#N/A,#N/A,TRUE,"ExitStratigy";#N/A,#N/A,TRUE,"OperatingAssumptions"}</definedName>
    <definedName name="Residu" hidden="1">{#N/A,#N/A,TRUE,"Summary";"AnnualRentRoll",#N/A,TRUE,"RentRoll";#N/A,#N/A,TRUE,"ExitStratigy";#N/A,#N/A,TRUE,"OperatingAssumptions"}</definedName>
    <definedName name="RPA" localSheetId="3" hidden="1">{#N/A,#N/A,FALSE,"Cashflow Analysis";#N/A,#N/A,FALSE,"Sensitivity Analysis";#N/A,#N/A,FALSE,"PV";#N/A,#N/A,FALSE,"Pro Forma"}</definedName>
    <definedName name="RPA" hidden="1">{#N/A,#N/A,FALSE,"Cashflow Analysis";#N/A,#N/A,FALSE,"Sensitivity Analysis";#N/A,#N/A,FALSE,"PV";#N/A,#N/A,FALSE,"Pro Forma"}</definedName>
    <definedName name="RPA.2" localSheetId="3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saa" localSheetId="3" hidden="1">{"rtn",#N/A,FALSE,"RTN";"tables",#N/A,FALSE,"RTN";"cf",#N/A,FALSE,"CF";"stats",#N/A,FALSE,"Stats";"prop",#N/A,FALSE,"Prop"}</definedName>
    <definedName name="saa" hidden="1">{"rtn",#N/A,FALSE,"RTN";"tables",#N/A,FALSE,"RTN";"cf",#N/A,FALSE,"CF";"stats",#N/A,FALSE,"Stats";"prop",#N/A,FALSE,"Prop"}</definedName>
    <definedName name="sadd" localSheetId="3" hidden="1">{"MonthlyRentRoll",#N/A,FALSE,"RentRoll"}</definedName>
    <definedName name="sadd" hidden="1">{"MonthlyRentRoll",#N/A,FALSE,"RentRoll"}</definedName>
    <definedName name="sadd1" localSheetId="3" hidden="1">{"MonthlyRentRoll",#N/A,FALSE,"RentRoll"}</definedName>
    <definedName name="sadd1" hidden="1">{"MonthlyRentRoll",#N/A,FALSE,"RentRoll"}</definedName>
    <definedName name="sadd2" localSheetId="3" hidden="1">{"MonthlyRentRoll",#N/A,FALSE,"RentRoll"}</definedName>
    <definedName name="sadd2" hidden="1">{"MonthlyRentRoll",#N/A,FALSE,"RentRoll"}</definedName>
    <definedName name="saddd" localSheetId="3" hidden="1">{"AnnualRentRoll",#N/A,FALSE,"RentRoll"}</definedName>
    <definedName name="saddd" hidden="1">{"AnnualRentRoll",#N/A,FALSE,"RentRoll"}</definedName>
    <definedName name="saddd2" localSheetId="3" hidden="1">{"AnnualRentRoll",#N/A,FALSE,"RentRoll"}</definedName>
    <definedName name="saddd2" hidden="1">{"AnnualRentRoll",#N/A,FALSE,"RentRoll"}</definedName>
    <definedName name="sadddd2" localSheetId="3" hidden="1">{"AnnualRentRoll",#N/A,FALSE,"RentRoll"}</definedName>
    <definedName name="sadddd2" hidden="1">{"AnnualRentRoll",#N/A,FALSE,"RentRoll"}</definedName>
    <definedName name="saddddd" localSheetId="3" hidden="1">{"AnnualRentRoll",#N/A,FALSE,"RentRoll"}</definedName>
    <definedName name="saddddd" hidden="1">{"AnnualRentRoll",#N/A,FALSE,"RentRoll"}</definedName>
    <definedName name="saddddddd2" localSheetId="3" hidden="1">{#N/A,#N/A,FALSE,"ExitStratigy"}</definedName>
    <definedName name="saddddddd2" hidden="1">{#N/A,#N/A,FALSE,"ExitStratigy"}</definedName>
    <definedName name="sadddddddd" localSheetId="3" hidden="1">{#N/A,#N/A,FALSE,"ExitStratigy"}</definedName>
    <definedName name="sadddddddd" hidden="1">{#N/A,#N/A,FALSE,"ExitStratigy"}</definedName>
    <definedName name="saddddddddd2" localSheetId="3" hidden="1">{#N/A,#N/A,FALSE,"LoanAssumptions"}</definedName>
    <definedName name="saddddddddd2" hidden="1">{#N/A,#N/A,FALSE,"LoanAssumptions"}</definedName>
    <definedName name="sadddddddddd" localSheetId="3" hidden="1">{#N/A,#N/A,FALSE,"LoanAssumptions"}</definedName>
    <definedName name="sadddddddddd" hidden="1">{#N/A,#N/A,FALSE,"LoanAssumptions"}</definedName>
    <definedName name="saddddddddddd2" localSheetId="3" hidden="1">{#N/A,#N/A,FALSE,"OperatingAssumptions"}</definedName>
    <definedName name="saddddddddddd2" hidden="1">{#N/A,#N/A,FALSE,"OperatingAssumptions"}</definedName>
    <definedName name="saddddddddddddd" localSheetId="3" hidden="1">{#N/A,#N/A,FALSE,"OperatingAssumptions"}</definedName>
    <definedName name="saddddddddddddd" hidden="1">{#N/A,#N/A,FALSE,"OperatingAssumptions"}</definedName>
    <definedName name="saf" localSheetId="3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saf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sas" localSheetId="3" hidden="1">{"Outflow 1",#N/A,FALSE,"Outflows-Inflows";"Outflow 2",#N/A,FALSE,"Outflows-Inflows";"Inflow 1",#N/A,FALSE,"Outflows-Inflows";"Inflow 2",#N/A,FALSE,"Outflows-Inflows"}</definedName>
    <definedName name="sas" hidden="1">{"Outflow 1",#N/A,FALSE,"Outflows-Inflows";"Outflow 2",#N/A,FALSE,"Outflows-Inflows";"Inflow 1",#N/A,FALSE,"Outflows-Inflows";"Inflow 2",#N/A,FALSE,"Outflows-Inflows"}</definedName>
    <definedName name="sdf" localSheetId="3" hidden="1">{#N/A,#N/A,TRUE,"10 Yr Hold";#N/A,#N/A,TRUE,"7 Yr Hold";#N/A,#N/A,TRUE,"5 Yr Hold";#N/A,#N/A,TRUE,"3 Yr Hold"}</definedName>
    <definedName name="sdf" hidden="1">{#N/A,#N/A,TRUE,"10 Yr Hold";#N/A,#N/A,TRUE,"7 Yr Hold";#N/A,#N/A,TRUE,"5 Yr Hold";#N/A,#N/A,TRUE,"3 Yr Hold"}</definedName>
    <definedName name="sdfass" localSheetId="3" hidden="1">{"Outflow 1",#N/A,FALSE,"Outflows-Inflows";"Outflow 2",#N/A,FALSE,"Outflows-Inflows";"Inflow 1",#N/A,FALSE,"Outflows-Inflows";"Inflow 2",#N/A,FALSE,"Outflows-Inflows"}</definedName>
    <definedName name="sdfass" hidden="1">{"Outflow 1",#N/A,FALSE,"Outflows-Inflows";"Outflow 2",#N/A,FALSE,"Outflows-Inflows";"Inflow 1",#N/A,FALSE,"Outflows-Inflows";"Inflow 2",#N/A,FALSE,"Outflows-Inflows"}</definedName>
    <definedName name="sencount" hidden="1">2</definedName>
    <definedName name="SPM" localSheetId="3" hidden="1">{#N/A,#N/A,FALSE,"Cashflow Analysis";#N/A,#N/A,FALSE,"Sensitivity Analysis";#N/A,#N/A,FALSE,"PV";#N/A,#N/A,FALSE,"Pro Forma"}</definedName>
    <definedName name="SPM" hidden="1">{#N/A,#N/A,FALSE,"Cashflow Analysis";#N/A,#N/A,FALSE,"Sensitivity Analysis";#N/A,#N/A,FALSE,"PV";#N/A,#N/A,FALSE,"Pro Forma"}</definedName>
    <definedName name="SPM.2" localSheetId="3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test" localSheetId="3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ina" localSheetId="3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rial" localSheetId="3" hidden="1">{"Outflow 1",#N/A,FALSE,"Outflows-Inflows";"Outflow 2",#N/A,FALSE,"Outflows-Inflows";"Inflow 1",#N/A,FALSE,"Outflows-Inflows";"Inflow 2",#N/A,FALSE,"Outflows-Inflows"}</definedName>
    <definedName name="trial" hidden="1">{"Outflow 1",#N/A,FALSE,"Outflows-Inflows";"Outflow 2",#N/A,FALSE,"Outflows-Inflows";"Inflow 1",#N/A,FALSE,"Outflows-Inflows";"Inflow 2",#N/A,FALSE,"Outflows-Inflows"}</definedName>
    <definedName name="ttt" localSheetId="3" hidden="1">{"Outflow 1",#N/A,FALSE,"Outflows-Inflows";"Outflow 2",#N/A,FALSE,"Outflows-Inflows";"Inflow 1",#N/A,FALSE,"Outflows-Inflows";"Inflow 2",#N/A,FALSE,"Outflows-Inflows"}</definedName>
    <definedName name="ttt" hidden="1">{"Outflow 1",#N/A,FALSE,"Outflows-Inflows";"Outflow 2",#N/A,FALSE,"Outflows-Inflows";"Inflow 1",#N/A,FALSE,"Outflows-Inflows";"Inflow 2",#N/A,FALSE,"Outflows-Inflows"}</definedName>
    <definedName name="Units">#REF!</definedName>
    <definedName name="Vail" localSheetId="3" hidden="1">{"PVGraph2",#N/A,FALSE,"PV Data"}</definedName>
    <definedName name="Vail" hidden="1">{"PVGraph2",#N/A,FALSE,"PV Data"}</definedName>
    <definedName name="Value" localSheetId="3" hidden="1">{#N/A,#N/A,FALSE,"Cashflow Analysis";#N/A,#N/A,FALSE,"Sensitivity Analysis";#N/A,#N/A,FALSE,"PV";#N/A,#N/A,FALSE,"Pro Forma"}</definedName>
    <definedName name="Value" hidden="1">{#N/A,#N/A,FALSE,"Cashflow Analysis";#N/A,#N/A,FALSE,"Sensitivity Analysis";#N/A,#N/A,FALSE,"PV";#N/A,#N/A,FALSE,"Pro Forma"}</definedName>
    <definedName name="Value.2" localSheetId="3" hidden="1">{#N/A,#N/A,FALSE,"Cashflow Analysis";#N/A,#N/A,FALSE,"Sensitivity Analysis";#N/A,#N/A,FALSE,"PV";#N/A,#N/A,FALSE,"Pro Forma"}</definedName>
    <definedName name="Value.2" hidden="1">{#N/A,#N/A,FALSE,"Cashflow Analysis";#N/A,#N/A,FALSE,"Sensitivity Analysis";#N/A,#N/A,FALSE,"PV";#N/A,#N/A,FALSE,"Pro Forma"}</definedName>
    <definedName name="value1" localSheetId="3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localSheetId="3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vvv" localSheetId="3" hidden="1">{#N/A,#N/A,FALSE,"Cashflow Analysis";#N/A,#N/A,FALSE,"Sensitivity Analysis";#N/A,#N/A,FALSE,"PV";#N/A,#N/A,FALSE,"Pro Forma"}</definedName>
    <definedName name="vvvv" hidden="1">{#N/A,#N/A,FALSE,"Cashflow Analysis";#N/A,#N/A,FALSE,"Sensitivity Analysis";#N/A,#N/A,FALSE,"PV";#N/A,#N/A,FALSE,"Pro Forma"}</definedName>
    <definedName name="VVVV.2" localSheetId="3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er" localSheetId="3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er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ererwer" localSheetId="3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n" localSheetId="3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hat_asdf2" localSheetId="3" hidden="1">{#N/A,#N/A,FALSE,"OperatingAssumptions"}</definedName>
    <definedName name="what_asdf2" hidden="1">{#N/A,#N/A,FALSE,"OperatingAssumptions"}</definedName>
    <definedName name="wrn.1." localSheetId="3" hidden="1">{"cover",#N/A,TRUE,"Cover";"toc1",#N/A,TRUE,"TOC";"ts1",#N/A,TRUE,"Transaction Summary";"ei",#N/A,TRUE,"Earnings Impact";"ad",#N/A,TRUE,"accretion dilution"}</definedName>
    <definedName name="wrn.1." hidden="1">{"cover",#N/A,TRUE,"Cover";"toc1",#N/A,TRUE,"TOC";"ts1",#N/A,TRUE,"Transaction Summary";"ei",#N/A,TRUE,"Earnings Impact";"ad",#N/A,TRUE,"accretion dilution"}</definedName>
    <definedName name="wrn.10." localSheetId="3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5" localSheetId="3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1." localSheetId="3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localSheetId="3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localSheetId="3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localSheetId="3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localSheetId="3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localSheetId="3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localSheetId="3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localSheetId="3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localSheetId="3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" localSheetId="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." localSheetId="3" hidden="1">{"cover",#N/A,TRUE,"Cover";"toc1",#N/A,TRUE,"TOC";"ts1",#N/A,TRUE,"Transaction Summary";"ei1",#N/A,TRUE,"Earnings Impact";"ad1",#N/A,TRUE,"accretion dilution"}</definedName>
    <definedName name="wrn.2." hidden="1">{"cover",#N/A,TRUE,"Cover";"toc1",#N/A,TRUE,"TOC";"ts1",#N/A,TRUE,"Transaction Summary";"ei1",#N/A,TRUE,"Earnings Impact";"ad1",#N/A,TRUE,"accretion dilution"}</definedName>
    <definedName name="wrn.2._.pagers." localSheetId="3" hidden="1">{"Cover",#N/A,FALSE,"Cover";"Summary",#N/A,FALSE,"Summarpage"}</definedName>
    <definedName name="wrn.2._.pagers." hidden="1">{"Cover",#N/A,FALSE,"Cover";"Summary",#N/A,FALSE,"Summarpage"}</definedName>
    <definedName name="wrn.20." localSheetId="3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.year._.alt" localSheetId="3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._.year._.alt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._.year._.full." localSheetId="3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._.year._.full.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13." localSheetId="3" hidden="1">{"PG4",#N/A,FALSE,"Page4";"PG3",#N/A,FALSE,"Page 3";"PG2",#N/A,FALSE,"Page 2";"PG1",#N/A,FALSE,"2013HUD, pg1"}</definedName>
    <definedName name="wrn.2013." hidden="1">{"PG4",#N/A,FALSE,"Page4";"PG3",#N/A,FALSE,"Page 3";"PG2",#N/A,FALSE,"Page 2";"PG1",#N/A,FALSE,"2013HUD, pg1"}</definedName>
    <definedName name="wrn.2013._.All." localSheetId="3" hidden="1">{"Page4",#N/A,FALSE,"Page4";"Page3",#N/A,FALSE,"Page 3";"Page2",#N/A,FALSE,"Page 2";"Page1",#N/A,FALSE,"2013HUD, pg1"}</definedName>
    <definedName name="wrn.2013._.All." hidden="1">{"Page4",#N/A,FALSE,"Page4";"Page3",#N/A,FALSE,"Page 3";"Page2",#N/A,FALSE,"Page 2";"Page1",#N/A,FALSE,"2013HUD, pg1"}</definedName>
    <definedName name="wrn.2013._.Report." localSheetId="3" hidden="1">{#N/A,#N/A,FALSE,"2013HUD, pg1";#N/A,#N/A,FALSE,"Page 2";#N/A,#N/A,FALSE,"Page 3";#N/A,#N/A,FALSE,"Page4"}</definedName>
    <definedName name="wrn.2013._.Report." hidden="1">{#N/A,#N/A,FALSE,"2013HUD, pg1";#N/A,#N/A,FALSE,"Page 2";#N/A,#N/A,FALSE,"Page 3";#N/A,#N/A,FALSE,"Page4"}</definedName>
    <definedName name="wrn.21." localSheetId="3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localSheetId="3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localSheetId="3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localSheetId="3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localSheetId="3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localSheetId="3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localSheetId="3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localSheetId="3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localSheetId="3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localSheetId="3" hidden="1">{"cover",#N/A,TRUE,"Cover";"toc1",#N/A,TRUE,"TOC";"ts1",#N/A,TRUE,"Transaction Summary";"ei2",#N/A,TRUE,"Earnings Impact";"ad2",#N/A,TRUE,"accretion dilution"}</definedName>
    <definedName name="wrn.3." hidden="1">{"cover",#N/A,TRUE,"Cover";"toc1",#N/A,TRUE,"TOC";"ts1",#N/A,TRUE,"Transaction Summary";"ei2",#N/A,TRUE,"Earnings Impact";"ad2",#N/A,TRUE,"accretion dilution"}</definedName>
    <definedName name="wrn.30." localSheetId="3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localSheetId="3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localSheetId="3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localSheetId="3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localSheetId="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localSheetId="3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localSheetId="3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localSheetId="3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localSheetId="3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localSheetId="3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localSheetId="3" hidden="1">{"toc1",#N/A,FALSE,"TOC";"cover",#N/A,FALSE,"Cover";"ts1",#N/A,FALSE,"Transaction Summary";"ei3",#N/A,FALSE,"Earnings Impact";"ad3",#N/A,FALSE,"accretion dilution"}</definedName>
    <definedName name="wrn.4." hidden="1">{"toc1",#N/A,FALSE,"TOC";"cover",#N/A,FALSE,"Cover";"ts1",#N/A,FALSE,"Transaction Summary";"ei3",#N/A,FALSE,"Earnings Impact";"ad3",#N/A,FALSE,"accretion dilution"}</definedName>
    <definedName name="wrn.40." localSheetId="3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localSheetId="3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localSheetId="3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localSheetId="3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localSheetId="3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localSheetId="3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localSheetId="3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localSheetId="3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localSheetId="3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localSheetId="3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localSheetId="3" hidden="1">{"cover",#N/A,TRUE,"Cover";"toc2",#N/A,TRUE,"TOC";"ts1",#N/A,TRUE,"Transaction Summary";"ei",#N/A,TRUE,"Earnings Impact";"ad",#N/A,TRUE,"accretion dilution";"hg",#N/A,TRUE,"Has-Gets"}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localSheetId="3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localSheetId="3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localSheetId="3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localSheetId="3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localSheetId="3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localSheetId="3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localSheetId="3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localSheetId="3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localSheetId="3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localSheetId="3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localSheetId="3" hidden="1">{"cover",#N/A,TRUE,"Cover";"toc2",#N/A,TRUE,"TOC";"ts1",#N/A,TRUE,"Transaction Summary";"ei1",#N/A,TRUE,"Earnings Impact";"ad1",#N/A,TRUE,"accretion dilution";"hg1",#N/A,TRUE,"Has-Gets"}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localSheetId="3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localSheetId="3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localSheetId="3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localSheetId="3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localSheetId="3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localSheetId="3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localSheetId="3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localSheetId="3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localSheetId="3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localSheetId="3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localSheetId="3" hidden="1">{"cover",#N/A,TRUE,"Cover";"toc2",#N/A,TRUE,"TOC";"ts1",#N/A,TRUE,"Transaction Summary";"ei2c",#N/A,TRUE,"Earnings Impact";"ad2",#N/A,TRUE,"accretion dilution";"hg2",#N/A,TRUE,"Has-Gets"}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localSheetId="3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localSheetId="3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localSheetId="3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localSheetId="3" hidden="1">{"cover",#N/A,TRUE,"Cover";"toc2",#N/A,TRUE,"TOC";"ts1",#N/A,TRUE,"Transaction Summary";"ei3",#N/A,TRUE,"Earnings Impact";"ad3",#N/A,TRUE,"accretion dilution";"hg3",#N/A,TRUE,"Has-Gets"}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localSheetId="3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9" localSheetId="3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ALL." localSheetId="3" hidden="1">{"Cover",#N/A,FALSE,"cover";"Program",#N/A,FALSE,"Program";"Rent Calculation",#N/A,FALSE,"Income Tiers";"Operations - all",#N/A,FALSE,"Operating";"Operations - PHA",#N/A,FALSE,"ACC Operating";"Operations - LIHTC",#N/A,FALSE,"LIHTC Operating";"Operations - market",#N/A,FALSE,"Mkt. Operating";"Dev Budget - commercial &amp; residential",#N/A,FALSE,"Development";"Dev Budget - 221d",#N/A,FALSE,"Development";"Dev Budget - Tax Treatment",#N/A,FALSE,"Development";"S&amp;U",#N/A,FALSE,"Sources";"221(d)3 limits",#N/A,FALSE,"Cost Limits";"TDC Limits",#N/A,FALSE,"Cost Limits";"Equity Schedule",#N/A,FALSE,"Schedule";"Lease-up",#N/A,FALSE,"Lease Up";"Sale Scenario",#N/A,FALSE,"Sale";"IRR",#N/A,FALSE,"LP Return (2)";"Min Gain Analysis",#N/A,FALSE,"Minumum Gain (2)";"Reserves",#N/A,FALSE,"Reserves";"Benefit schedule",#N/A,FALSE,"LP Benefits (2)";"Loss Schedule",#N/A,FALSE,"Loss";"Debt",#N/A,FALSE,"Debt";"Construction CF",#N/A,FALSE,"MonthlyCF";"proforma - 30yr all",#N/A,FALSE,"Proforma";"proforma - 30yr PHA all",#N/A,FALSE,"ACC Proforma";"proforma - 30yr LIHTC",#N/A,FALSE,"LIHTC Proforma";"proforma - 30yr market",#N/A,FALSE,"Market Proforma"}</definedName>
    <definedName name="wrn.ALL." hidden="1">{"Cover",#N/A,FALSE,"cover";"Program",#N/A,FALSE,"Program";"Rent Calculation",#N/A,FALSE,"Income Tiers";"Operations - all",#N/A,FALSE,"Operating";"Operations - PHA",#N/A,FALSE,"ACC Operating";"Operations - LIHTC",#N/A,FALSE,"LIHTC Operating";"Operations - market",#N/A,FALSE,"Mkt. Operating";"Dev Budget - commercial &amp; residential",#N/A,FALSE,"Development";"Dev Budget - 221d",#N/A,FALSE,"Development";"Dev Budget - Tax Treatment",#N/A,FALSE,"Development";"S&amp;U",#N/A,FALSE,"Sources";"221(d)3 limits",#N/A,FALSE,"Cost Limits";"TDC Limits",#N/A,FALSE,"Cost Limits";"Equity Schedule",#N/A,FALSE,"Schedule";"Lease-up",#N/A,FALSE,"Lease Up";"Sale Scenario",#N/A,FALSE,"Sale";"IRR",#N/A,FALSE,"LP Return (2)";"Min Gain Analysis",#N/A,FALSE,"Minumum Gain (2)";"Reserves",#N/A,FALSE,"Reserves";"Benefit schedule",#N/A,FALSE,"LP Benefits (2)";"Loss Schedule",#N/A,FALSE,"Loss";"Debt",#N/A,FALSE,"Debt";"Construction CF",#N/A,FALSE,"MonthlyCF";"proforma - 30yr all",#N/A,FALSE,"Proforma";"proforma - 30yr PHA all",#N/A,FALSE,"ACC Proforma";"proforma - 30yr LIHTC",#N/A,FALSE,"LIHTC Proforma";"proforma - 30yr market",#N/A,FALSE,"Market Proforma"}</definedName>
    <definedName name="wrn.All._.Inputs." localSheetId="3" hidden="1">{#N/A,#N/A,FALSE,"Primary";#N/A,#N/A,FALSE,"Secondary";#N/A,#N/A,FALSE,"Latent";#N/A,#N/A,FALSE,"Demand Inputs";#N/A,#N/A,FALSE,"Supply Addn";#N/A,#N/A,FALSE,"Mkt Pen"}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Numbers." localSheetId="3" hidden="1">{"Inputs",#N/A,FALSE,"Inputs";"Sources and Uses",#N/A,FALSE,"S&amp;U";"Summary",#N/A,FALSE,"Summary";"VRDB Current Market",#N/A,FALSE,"VRDB-Cur";"VRDB 5 Year Average",#N/A,FALSE,"VRDB-His";"Fixed Rate Bonds",#N/A,FALSE,"Fixed";"Bank Taxable",#N/A,FALSE,"Bank-Taxable";"Bank Loan Tax Exempt",#N/A,FALSE,"Bank-TE";"Break Even",#N/A,FALSE,"Sensitivity";"Sensitivity",#N/A,FALSE,"Sensitivity"}</definedName>
    <definedName name="wrn.All._.Numbers." hidden="1">{"Inputs",#N/A,FALSE,"Inputs";"Sources and Uses",#N/A,FALSE,"S&amp;U";"Summary",#N/A,FALSE,"Summary";"VRDB Current Market",#N/A,FALSE,"VRDB-Cur";"VRDB 5 Year Average",#N/A,FALSE,"VRDB-His";"Fixed Rate Bonds",#N/A,FALSE,"Fixed";"Bank Taxable",#N/A,FALSE,"Bank-Taxable";"Bank Loan Tax Exempt",#N/A,FALSE,"Bank-TE";"Break Even",#N/A,FALSE,"Sensitivity";"Sensitivity",#N/A,FALSE,"Sensitivity"}</definedName>
    <definedName name="wrn.All._.Numbers2." localSheetId="3" hidden="1">{"Inputs",#N/A,FALSE,"Inputs";"Sources and Uses",#N/A,FALSE,"S&amp;U";"Summary",#N/A,FALSE,"Summary";"VRDB Current Market",#N/A,FALSE,"VRDB-Cur";"VRDB 5 Year Average",#N/A,FALSE,"VRDB-His";"Fixed Rate Bonds",#N/A,FALSE,"Fixed";"Bank Taxable",#N/A,FALSE,"Bank-Taxable";"Bank Loan Tax Exempt",#N/A,FALSE,"Bank-TE";"Break Even",#N/A,FALSE,"Sensitivity";"Sensitivity",#N/A,FALSE,"Sensitivity"}</definedName>
    <definedName name="wrn.All._.Numbers2." hidden="1">{"Inputs",#N/A,FALSE,"Inputs";"Sources and Uses",#N/A,FALSE,"S&amp;U";"Summary",#N/A,FALSE,"Summary";"VRDB Current Market",#N/A,FALSE,"VRDB-Cur";"VRDB 5 Year Average",#N/A,FALSE,"VRDB-His";"Fixed Rate Bonds",#N/A,FALSE,"Fixed";"Bank Taxable",#N/A,FALSE,"Bank-Taxable";"Bank Loan Tax Exempt",#N/A,FALSE,"Bank-TE";"Break Even",#N/A,FALSE,"Sensitivity";"Sensitivity",#N/A,FALSE,"Sensitivity"}</definedName>
    <definedName name="wrn.All._.Schedules." localSheetId="3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ections." localSheetId="3" hidden="1">{"Data Entry",#N/A,FALSE,"COMPTEMP";"Ratios",#N/A,FALSE,"COMPTEMP";"Aggregate Values",#N/A,FALSE,"COMPTEMP";"Equity Multiples",#N/A,FALSE,"COMPTEMP";"Summary Overview",#N/A,FALSE,"COMPTEMP"}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nalysis." localSheetId="3" hidden="1">{#N/A,#N/A,FALSE,"Setup";#N/A,#N/A,FALSE,"Purchase Analysis"}</definedName>
    <definedName name="wrn.Analysis." hidden="1">{#N/A,#N/A,FALSE,"Setup";#N/A,#N/A,FALSE,"Purchase Analysis"}</definedName>
    <definedName name="wrn.Annual._.CF._1" localSheetId="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1" localSheetId="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2" localSheetId="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3" localSheetId="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2" localSheetId="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3" localSheetId="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4" localSheetId="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4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Summary." localSheetId="3" hidden="1">{"Annual Cash Flows",#N/A,FALSE,"Annual Summary"}</definedName>
    <definedName name="wrn.Annual._.Summary." hidden="1">{"Annual Cash Flows",#N/A,FALSE,"Annual Summary"}</definedName>
    <definedName name="wrn.Annual.CF" localSheetId="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" localSheetId="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1" localSheetId="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2" localSheetId="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3" localSheetId="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2" localSheetId="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3" localSheetId="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4" localSheetId="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4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RentRoll" localSheetId="3" hidden="1">{"AnnualRentRoll",#N/A,FALSE,"RentRoll"}</definedName>
    <definedName name="wrn.AnnualRentRoll" hidden="1">{"AnnualRentRoll",#N/A,FALSE,"RentRoll"}</definedName>
    <definedName name="wrn.AnnualRentRoll." localSheetId="3" hidden="1">{"AnnualRentRoll",#N/A,FALSE,"RentRoll"}</definedName>
    <definedName name="wrn.AnnualRentRoll." hidden="1">{"AnnualRentRoll",#N/A,FALSE,"RentRoll"}</definedName>
    <definedName name="wrn.annualrentroll2" localSheetId="3" hidden="1">{"AnnualRentRoll",#N/A,FALSE,"RentRoll"}</definedName>
    <definedName name="wrn.annualrentroll2" hidden="1">{"AnnualRentRoll",#N/A,FALSE,"RentRoll"}</definedName>
    <definedName name="wrn.appendix._.c." localSheetId="3" hidden="1">{"interim 20",#N/A,TRUE,"Interim";"landsale 20",#N/A,TRUE,"LandSale";"noi 20",#N/A,TRUE,"NOI";"bldg sale 20",#N/A,TRUE,"BldgSale";"aff hsg",#N/A,TRUE,"AffHsg"}</definedName>
    <definedName name="wrn.appendix._.c." hidden="1">{"interim 20",#N/A,TRUE,"Interim";"landsale 20",#N/A,TRUE,"LandSale";"noi 20",#N/A,TRUE,"NOI";"bldg sale 20",#N/A,TRUE,"BldgSale";"aff hsg",#N/A,TRUE,"AffHsg"}</definedName>
    <definedName name="wrn.Asia._.Total._.Variance." localSheetId="3" hidden="1">{#N/A,#N/A,FALSE,"Asia"}</definedName>
    <definedName name="wrn.Asia._.Total._.Variance." hidden="1">{#N/A,#N/A,FALSE,"Asia"}</definedName>
    <definedName name="wrn.Assumptions." localSheetId="3" hidden="1">{"Assumptions",#N/A,FALSE,"Assumptions"}</definedName>
    <definedName name="wrn.Assumptions." hidden="1">{"Assumptions",#N/A,FALSE,"Assumptions"}</definedName>
    <definedName name="wrn.Auto._.Comp." localSheetId="3" hidden="1">{#N/A,#N/A,FALSE,"Sheet1"}</definedName>
    <definedName name="wrn.Auto._.Comp." hidden="1">{#N/A,#N/A,FALSE,"Sheet1"}</definedName>
    <definedName name="wrn.Bank._.Loan._.Tax._.Exempt." localSheetId="3" hidden="1">{"Bank Loan Tax Exempt",#N/A,FALSE,"Bank-TE"}</definedName>
    <definedName name="wrn.Bank._.Loan._.Tax._.Exempt." hidden="1">{"Bank Loan Tax Exempt",#N/A,FALSE,"Bank-TE"}</definedName>
    <definedName name="wrn.Bank._.Loan._.Taxable." localSheetId="3" hidden="1">{"Bank Taxable",#N/A,FALSE,"Bank-Taxable"}</definedName>
    <definedName name="wrn.Bank._.Loan._.Taxable." hidden="1">{"Bank Taxable",#N/A,FALSE,"Bank-Taxable"}</definedName>
    <definedName name="wrn.BaseYearDemand." localSheetId="3" hidden="1">{"Base Year Demand",#N/A,FALSE,"Demand-Base Year"}</definedName>
    <definedName name="wrn.BaseYearDemand." hidden="1">{"Base Year Demand",#N/A,FALSE,"Demand-Base Year"}</definedName>
    <definedName name="wrn.Basic." localSheetId="3" hidden="1">{"Cover Basic",#N/A,FALSE,"cover";"Operations - all",#N/A,FALSE,"Operating";"Dev Budget - detail",#N/A,FALSE,"Development";"Dev Budget - commercial &amp; residential",#N/A,FALSE,"Development";"S&amp;U",#N/A,FALSE,"Sources";"Lease-up",#N/A,FALSE,"Lease Up";"proforma - 30yr all",#N/A,FALSE,"Proforma"}</definedName>
    <definedName name="wrn.Basic." hidden="1">{"Cover Basic",#N/A,FALSE,"cover";"Operations - all",#N/A,FALSE,"Operating";"Dev Budget - detail",#N/A,FALSE,"Development";"Dev Budget - commercial &amp; residential",#N/A,FALSE,"Development";"S&amp;U",#N/A,FALSE,"Sources";"Lease-up",#N/A,FALSE,"Lease Up";"proforma - 30yr all",#N/A,FALSE,"Proforma"}</definedName>
    <definedName name="wrn.Blue._.Book._.Sections." localSheetId="3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ston._.1.4._1" localSheetId="3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1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2" localSheetId="3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2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3" localSheetId="3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3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th._.Outputs." localSheetId="3" hidden="1">{"LTV Output",#N/A,FALSE,"Output";"DCR Output",#N/A,FALSE,"Output"}</definedName>
    <definedName name="wrn.Both._.Outputs." hidden="1">{"LTV Output",#N/A,FALSE,"Output";"DCR Output",#N/A,FALSE,"Output"}</definedName>
    <definedName name="wrn.Break._.Even._.Analysis." localSheetId="3" hidden="1">{"Break Even",#N/A,FALSE,"Sensitivity"}</definedName>
    <definedName name="wrn.Break._.Even._.Analysis." hidden="1">{"Break Even",#N/A,FALSE,"Sensitivity"}</definedName>
    <definedName name="wrn.breakup." localSheetId="3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CF._.Print." localSheetId="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OMBINED." localSheetId="3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plete.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II._1" localSheetId="3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1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2" localSheetId="3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2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3" localSheetId="3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3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1" localSheetId="3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_1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_2" localSheetId="3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_2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_3" localSheetId="3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_3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_2._1" localSheetId="3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1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2" localSheetId="3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2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3" localSheetId="3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3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nstruction._.Costs." localSheetId="3" hidden="1">{"Construction Costs",#N/A,FALSE,"Total Costs"}</definedName>
    <definedName name="wrn.Construction._.Costs." hidden="1">{"Construction Costs",#N/A,FALSE,"Total Costs"}</definedName>
    <definedName name="wrn.Control_A." localSheetId="3" hidden="1">{#N/A,#N/A,FALSE,"Notes";#N/A,#N/A,FALSE,"CFD Summary";#N/A,#N/A,FALSE,"Loan Value";#N/A,#N/A,FALSE,"CashFlowSummary";#N/A,#N/A,FALSE,"InvestorSummary";#N/A,#N/A,FALSE,"RevenueAssumptions";#N/A,#N/A,FALSE,"MasterCostAssmp";#N/A,#N/A,FALSE,"InTractCstAssmp";#N/A,#N/A,FALSE,"LotTakedowns"}</definedName>
    <definedName name="wrn.Control_A." hidden="1">{#N/A,#N/A,FALSE,"Notes";#N/A,#N/A,FALSE,"CFD Summary";#N/A,#N/A,FALSE,"Loan Value";#N/A,#N/A,FALSE,"CashFlowSummary";#N/A,#N/A,FALSE,"InvestorSummary";#N/A,#N/A,FALSE,"RevenueAssumptions";#N/A,#N/A,FALSE,"MasterCostAssmp";#N/A,#N/A,FALSE,"InTractCstAssmp";#N/A,#N/A,FALSE,"LotTakedowns"}</definedName>
    <definedName name="wrn.Control_M." localSheetId="3" hidden="1">{#N/A,#N/A,FALSE,"Notes";#N/A,#N/A,FALSE,"CFD Summary";#N/A,#N/A,FALSE,"BaseAssumptions";#N/A,#N/A,FALSE,"RevenueAssumptions";#N/A,#N/A,FALSE,"MasterCostAssmp";#N/A,#N/A,FALSE,"InTractCstAssmp";#N/A,#N/A,FALSE,"LotTakedowns";#N/A,#N/A,FALSE,"CashFlowSummary";#N/A,#N/A,FALSE,"FlowSummary";#N/A,#N/A,FALSE,"SourcesAndUses";#N/A,#N/A,FALSE,"CashDistribute";#N/A,#N/A,FALSE,"InvestorSummary";#N/A,#N/A,FALSE,"AcqDev Loan";#N/A,#N/A,FALSE,"Finance Summary";#N/A,#N/A,FALSE,"Valuation"}</definedName>
    <definedName name="wrn.Control_M." hidden="1">{#N/A,#N/A,FALSE,"Notes";#N/A,#N/A,FALSE,"CFD Summary";#N/A,#N/A,FALSE,"BaseAssumptions";#N/A,#N/A,FALSE,"RevenueAssumptions";#N/A,#N/A,FALSE,"MasterCostAssmp";#N/A,#N/A,FALSE,"InTractCstAssmp";#N/A,#N/A,FALSE,"LotTakedowns";#N/A,#N/A,FALSE,"CashFlowSummary";#N/A,#N/A,FALSE,"FlowSummary";#N/A,#N/A,FALSE,"SourcesAndUses";#N/A,#N/A,FALSE,"CashDistribute";#N/A,#N/A,FALSE,"InvestorSummary";#N/A,#N/A,FALSE,"AcqDev Loan";#N/A,#N/A,FALSE,"Finance Summary";#N/A,#N/A,FALSE,"Valuation"}</definedName>
    <definedName name="wrn.Converse._1" localSheetId="3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1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2" localSheetId="3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2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3" localSheetId="3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3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ttage._.Summary." localSheetId="3" hidden="1">{"cot1",#N/A,FALSE,"Cottages";"cot2",#N/A,FALSE,"Cottages";"cot3",#N/A,FALSE,"Cottages"}</definedName>
    <definedName name="wrn.Cottage._.Summary." hidden="1">{"cot1",#N/A,FALSE,"Cottages";"cot2",#N/A,FALSE,"Cottages";"cot3",#N/A,FALSE,"Cottages"}</definedName>
    <definedName name="wrn.cssa." localSheetId="3" hidden="1">{#N/A,#N/A,FALSE,"WATCHDSC";#N/A,#N/A,FALSE,"2LOSSMOD";#N/A,#N/A,FALSE,"2LOSS";#N/A,#N/A,FALSE,"DSC";#N/A,#N/A,FALSE,"OPERAT";#N/A,#N/A,FALSE,"ADJUST";#N/A,#N/A,FALSE,"LEASE EXPIRE"}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Ctrl._.A._.Annually." localSheetId="3" hidden="1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wrn.Ctrl._.A._.Annually." hidden="1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wrn.Ctrl._.A._.Quarterly." localSheetId="3" hidden="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wrn.Ctrl._.A._.Quarterly." hidden="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wrn.Ctrl._.M." localSheetId="3" hidden="1">{#N/A,#N/A,FALSE,"Notes";#N/A,#N/A,FALSE,"BaseAssumptions";#N/A,#N/A,FALSE,"CFD Summary";#N/A,#N/A,FALSE,"RevenueAssumptions";#N/A,#N/A,FALSE,"MasterCostAssmp";#N/A,#N/A,FALSE,"InTractCstAssmp";#N/A,#N/A,FALSE,"LotTakedowns";#N/A,#N/A,FALSE,"CashFlowSummary";#N/A,#N/A,FALSE,"Loan Value";#N/A,#N/A,FALSE,"AcqDev Loan";#N/A,#N/A,FALSE,"FlowSummary";#N/A,#N/A,FALSE,"SourcesAndUses";#N/A,#N/A,FALSE,"CashDistribute";#N/A,#N/A,FALSE,"InvestorSummary";#N/A,#N/A,FALSE,"Finance Summary";#N/A,#N/A,FALSE,"SourceAndUse";#N/A,#N/A,FALSE,"Valuation"}</definedName>
    <definedName name="wrn.Ctrl._.M." hidden="1">{#N/A,#N/A,FALSE,"Notes";#N/A,#N/A,FALSE,"BaseAssumptions";#N/A,#N/A,FALSE,"CFD Summary";#N/A,#N/A,FALSE,"RevenueAssumptions";#N/A,#N/A,FALSE,"MasterCostAssmp";#N/A,#N/A,FALSE,"InTractCstAssmp";#N/A,#N/A,FALSE,"LotTakedowns";#N/A,#N/A,FALSE,"CashFlowSummary";#N/A,#N/A,FALSE,"Loan Value";#N/A,#N/A,FALSE,"AcqDev Loan";#N/A,#N/A,FALSE,"FlowSummary";#N/A,#N/A,FALSE,"SourcesAndUses";#N/A,#N/A,FALSE,"CashDistribute";#N/A,#N/A,FALSE,"InvestorSummary";#N/A,#N/A,FALSE,"Finance Summary";#N/A,#N/A,FALSE,"SourceAndUse";#N/A,#N/A,FALSE,"Valuation"}</definedName>
    <definedName name="wrn.Ctrl._.M._.Annually." localSheetId="3" hidden="1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wrn.Ctrl._.M._.Annually." hidden="1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wrn.Ctrl._.M._.Quarterly." localSheetId="3" hidden="1">{#N/A,#N/A,FALSE,"Notes";#N/A,#N/A,FALSE,"BaseAssumptions";#N/A,#N/A,FALSE,"CFD";#N/A,#N/A,FALSE,"RevenueAssumptions";"MasterCostAssmp Quarterly",#N/A,FALSE,"MasterCostAssmp";"Lot Takedowns Quarterly",#N/A,FALSE,"LotTakedowns";#N/A,#N/A,FALSE,"InTractCstAssmp";"CashFlowSummary Quarterly",#N/A,FALSE,"CashFlowSummary";#N/A,#N/A,FALSE,"Loan Value";"AcqDev Loan Quarterly",#N/A,FALSE,"AcqDev Loan";"Loan #1 Quarterly",#N/A,FALSE,"Loan #1";"Loan #2 Quarterly",#N/A,FALSE,"Loan #2";"Loan #3 Quarterly",#N/A,FALSE,"Loan #3";"Consolidated Loan Quarterly",#N/A,FALSE,"Consolidated Loan";"FlowSummary Quarterly",#N/A,FALSE,"FlowSummary";"SourcesAndUses Quarterly",#N/A,FALSE,"SourcesAndUses";"CashDistribute Quarterly",#N/A,FALSE,"CashDistribute";"InvestorSummary Quarterly",#N/A,FALSE,"InvestorSummary";#N/A,#N/A,FALSE,"Finance Summary";#N/A,#N/A,FALSE,"Valuation"}</definedName>
    <definedName name="wrn.Ctrl._.M._.Quarterly." hidden="1">{#N/A,#N/A,FALSE,"Notes";#N/A,#N/A,FALSE,"BaseAssumptions";#N/A,#N/A,FALSE,"CFD";#N/A,#N/A,FALSE,"RevenueAssumptions";"MasterCostAssmp Quarterly",#N/A,FALSE,"MasterCostAssmp";"Lot Takedowns Quarterly",#N/A,FALSE,"LotTakedowns";#N/A,#N/A,FALSE,"InTractCstAssmp";"CashFlowSummary Quarterly",#N/A,FALSE,"CashFlowSummary";#N/A,#N/A,FALSE,"Loan Value";"AcqDev Loan Quarterly",#N/A,FALSE,"AcqDev Loan";"Loan #1 Quarterly",#N/A,FALSE,"Loan #1";"Loan #2 Quarterly",#N/A,FALSE,"Loan #2";"Loan #3 Quarterly",#N/A,FALSE,"Loan #3";"Consolidated Loan Quarterly",#N/A,FALSE,"Consolidated Loan";"FlowSummary Quarterly",#N/A,FALSE,"FlowSummary";"SourcesAndUses Quarterly",#N/A,FALSE,"SourcesAndUses";"CashDistribute Quarterly",#N/A,FALSE,"CashDistribute";"InvestorSummary Quarterly",#N/A,FALSE,"InvestorSummary";#N/A,#N/A,FALSE,"Finance Summary";#N/A,#N/A,FALSE,"Valuation"}</definedName>
    <definedName name="wrn.Current._1" localSheetId="3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1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2" localSheetId="3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2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3" localSheetId="3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3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data." localSheetId="3" hidden="1">{"data",#N/A,FALSE,"INPUT"}</definedName>
    <definedName name="wrn.data." hidden="1">{"data",#N/A,FALSE,"INPUT"}</definedName>
    <definedName name="wrn.DCR._.Output." localSheetId="3" hidden="1">{"DCR Output",#N/A,FALSE,"Output"}</definedName>
    <definedName name="wrn.DCR._.Output." hidden="1">{"DCR Output",#N/A,FALSE,"Output"}</definedName>
    <definedName name="wrn.Demand._.Calcs." localSheetId="3" hidden="1">{#N/A,#N/A,FALSE,"Demand Calcs"}</definedName>
    <definedName name="wrn.Demand._.Calcs." hidden="1">{#N/A,#N/A,FALSE,"Demand Calcs"}</definedName>
    <definedName name="wrn.Demand._.Inputs." localSheetId="3" hidden="1">{#N/A,#N/A,FALSE,"Demand Inputs"}</definedName>
    <definedName name="wrn.Demand._.Inputs." hidden="1">{#N/A,#N/A,FALSE,"Demand Inputs"}</definedName>
    <definedName name="wrn.Downside." localSheetId="3" hidden="1">{"Downside",#N/A,FALSE,"Downside"}</definedName>
    <definedName name="wrn.Downside." hidden="1">{"Downside",#N/A,FALSE,"Downside"}</definedName>
    <definedName name="wrn.Draw._.Submittal." localSheetId="3" hidden="1">{#N/A,#N/A,FALSE,"SS(Gross)";#N/A,#N/A,FALSE,"SS(Net)";#N/A,#N/A,FALSE,"Invoice";#N/A,#N/A,FALSE,"G702";#N/A,#N/A,FALSE,"G703"}</definedName>
    <definedName name="wrn.Draw._.Submittal." hidden="1">{#N/A,#N/A,FALSE,"SS(Gross)";#N/A,#N/A,FALSE,"SS(Net)";#N/A,#N/A,FALSE,"Invoice";#N/A,#N/A,FALSE,"G702";#N/A,#N/A,FALSE,"G703"}</definedName>
    <definedName name="wrn.ExitAndSalesAssumptions." localSheetId="3" hidden="1">{#N/A,#N/A,FALSE,"ExitStratigy"}</definedName>
    <definedName name="wrn.ExitAndSalesAssumptions." hidden="1">{#N/A,#N/A,FALSE,"ExitStratigy"}</definedName>
    <definedName name="wrn.Fair._.Share._.Calcs." localSheetId="3" hidden="1">{#N/A,#N/A,FALSE,"Fair Share"}</definedName>
    <definedName name="wrn.Fair._.Share._.Calcs." hidden="1">{#N/A,#N/A,FALSE,"Fair Share"}</definedName>
    <definedName name="wrn.FCG." localSheetId="3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inal._.Output." localSheetId="3" hidden="1">{#N/A,#N/A,FALSE,"Final Output"}</definedName>
    <definedName name="wrn.Final._.Output." hidden="1">{#N/A,#N/A,FALSE,"Final Output"}</definedName>
    <definedName name="wrn.financial._.package." localSheetId="3" hidden="1">{#N/A,#N/A,FALSE,"BALANCE SHEET";#N/A,#N/A,FALSE,"IS";#N/A,#N/A,FALSE,"ISCOMPAR";#N/A,#N/A,FALSE,"ADD RETMAR";#N/A,#N/A,FALSE,"VARIOUS COMP";#N/A,#N/A,FALSE,"RATIOS";#N/A,#N/A,FALSE,"GRAPHS"}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rst._.3._.Years._.All._.Sheets." localSheetId="3" hidden="1">{#N/A,#N/A,FALSE,"BaseAssumptions";"MasterCostAssmp_3 Yrs",#N/A,FALSE,"MasterCostAssmp";#N/A,#N/A,FALSE,"InTractCstAssmp";"LotTakedowns_3 Yrs",#N/A,FALSE,"LotTakedowns";"CashFlowSummary_3 Yrs",#N/A,FALSE,"CashFlowSummary";"FlowSummary_3 Yrs",#N/A,FALSE,"FlowSummary";"SourcesAndUses_3 Yrs",#N/A,FALSE,"SourcesAndUses";"CashDistribute_3 Yrs",#N/A,FALSE,"CashDistribute";"InvestorSummary_3 Yrs",#N/A,FALSE,"InvestorSummary";"AcqDev Loan_3 Yrs",#N/A,FALSE,"AcqDev Loan";#N/A,#N/A,FALSE,"Finance Summary";#N/A,#N/A,FALSE,"Valuation"}</definedName>
    <definedName name="wrn.First._.3._.Years._.All._.Sheets." hidden="1">{#N/A,#N/A,FALSE,"BaseAssumptions";"MasterCostAssmp_3 Yrs",#N/A,FALSE,"MasterCostAssmp";#N/A,#N/A,FALSE,"InTractCstAssmp";"LotTakedowns_3 Yrs",#N/A,FALSE,"LotTakedowns";"CashFlowSummary_3 Yrs",#N/A,FALSE,"CashFlowSummary";"FlowSummary_3 Yrs",#N/A,FALSE,"FlowSummary";"SourcesAndUses_3 Yrs",#N/A,FALSE,"SourcesAndUses";"CashDistribute_3 Yrs",#N/A,FALSE,"CashDistribute";"InvestorSummary_3 Yrs",#N/A,FALSE,"InvestorSummary";"AcqDev Loan_3 Yrs",#N/A,FALSE,"AcqDev Loan";#N/A,#N/A,FALSE,"Finance Summary";#N/A,#N/A,FALSE,"Valuation"}</definedName>
    <definedName name="wrn.Fixed._.Rate._.Bonds." localSheetId="3" hidden="1">{"Fixed Rate Bonds",#N/A,FALSE,"Fixed"}</definedName>
    <definedName name="wrn.Fixed._.Rate._.Bonds." hidden="1">{"Fixed Rate Bonds",#N/A,FALSE,"Fixed"}</definedName>
    <definedName name="wrn.Fortress._1" localSheetId="3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1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2" localSheetId="3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2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3" localSheetId="3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3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RI._1" localSheetId="3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1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2" localSheetId="3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2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3" localSheetId="3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3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ull._.Print." localSheetId="3" hidden="1">{"Input Assumptions",#N/A,FALSE,"Summary";"Return Sensitivities",#N/A,FALSE,"Summary";"Project CF &amp; Debt",#N/A,FALSE,"Summary";"Unit Sale Summary",#N/A,FALSE,"Summary";"Sellout Summary",#N/A,FALSE,"Sellout";"Project Pro Forma",#N/A,FALSE,"Summary";"Apt Rental Revenue",#N/A,FALSE,"Summary"}</definedName>
    <definedName name="wrn.Full._.Print." hidden="1">{"Input Assumptions",#N/A,FALSE,"Summary";"Return Sensitivities",#N/A,FALSE,"Summary";"Project CF &amp; Debt",#N/A,FALSE,"Summary";"Unit Sale Summary",#N/A,FALSE,"Summary";"Sellout Summary",#N/A,FALSE,"Sellout";"Project Pro Forma",#N/A,FALSE,"Summary";"Apt Rental Revenue",#N/A,FALSE,"Summary"}</definedName>
    <definedName name="wrn.Full._.Report._1" localSheetId="3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eport._1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eport._2" localSheetId="3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eport._2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eport._3" localSheetId="3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eport._3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_Template." localSheetId="3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ndus._.33._1" localSheetId="3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1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2" localSheetId="3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2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3" localSheetId="3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3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Golf._.Summary." localSheetId="3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olf._.Summary.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RAPHS." localSheetId="3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Hold._.Sell." localSheetId="3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Income._.Statements." localSheetId="3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puts." localSheetId="3" hidden="1">{"Inputs",#N/A,FALSE,"Inputs"}</definedName>
    <definedName name="wrn.Inputs." hidden="1">{"Inputs",#N/A,FALSE,"Inputs"}</definedName>
    <definedName name="wrn.Köln._.Model._1" localSheetId="3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1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2" localSheetId="3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2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3" localSheetId="3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3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Land._.Takedown._.Summary." localSheetId="3" hidden="1">{"land1",#N/A,FALSE,"Land";"land2",#N/A,FALSE,"Land";"land3",#N/A,FALSE,"Land"}</definedName>
    <definedName name="wrn.Land._.Takedown._.Summary." hidden="1">{"land1",#N/A,FALSE,"Land";"land2",#N/A,FALSE,"Land";"land3",#N/A,FALSE,"Land"}</definedName>
    <definedName name="wrn.Latent._.Demand._.Inputs." localSheetId="3" hidden="1">{#N/A,#N/A,FALSE,"Latent"}</definedName>
    <definedName name="wrn.Latent._.Demand._.Inputs." hidden="1">{#N/A,#N/A,FALSE,"Latent"}</definedName>
    <definedName name="wrn.Leasing._.Variance." localSheetId="3" hidden="1">{#N/A,#N/A,FALSE,"Leasing 6A"}</definedName>
    <definedName name="wrn.Leasing._.Variance." hidden="1">{#N/A,#N/A,FALSE,"Leasing 6A"}</definedName>
    <definedName name="wrn.Lichtin._.Summary._1" localSheetId="3" hidden="1">{"Summary for Lichtin",#N/A,FALSE,"Value Summary"}</definedName>
    <definedName name="wrn.Lichtin._.Summary._1" hidden="1">{"Summary for Lichtin",#N/A,FALSE,"Value Summary"}</definedName>
    <definedName name="wrn.Lichtin._.Summary._2" localSheetId="3" hidden="1">{"Summary for Lichtin",#N/A,FALSE,"Value Summary"}</definedName>
    <definedName name="wrn.Lichtin._.Summary._2" hidden="1">{"Summary for Lichtin",#N/A,FALSE,"Value Summary"}</definedName>
    <definedName name="wrn.Lichtin._.Summary._3" localSheetId="3" hidden="1">{"Summary for Lichtin",#N/A,FALSE,"Value Summary"}</definedName>
    <definedName name="wrn.Lichtin._.Summary._3" hidden="1">{"Summary for Lichtin",#N/A,FALSE,"Value Summary"}</definedName>
    <definedName name="wrn.LoanInformation." localSheetId="3" hidden="1">{#N/A,#N/A,FALSE,"LoanAssumptions"}</definedName>
    <definedName name="wrn.LoanInformation." hidden="1">{#N/A,#N/A,FALSE,"LoanAssumptions"}</definedName>
    <definedName name="wrn.Lot._.Inventory." localSheetId="3" hidden="1">{"lot inventory",#N/A,FALSE,"Lot List"}</definedName>
    <definedName name="wrn.Lot._.Inventory." hidden="1">{"lot inventory",#N/A,FALSE,"Lot List"}</definedName>
    <definedName name="wrn.Lot._.Summary." localSheetId="3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ot._.Summary.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ower._.Tier._.Analysis." localSheetId="3" hidden="1">{#N/A,#N/A,FALSE,"Summary";#N/A,#N/A,FALSE,"Sources and Uses";#N/A,#N/A,FALSE,"Qualified Basis";#N/A,#N/A,FALSE,"Rent and Unit Mix";#N/A,#N/A,FALSE,"Stabilized";#N/A,#N/A,FALSE,"Proforma Operations";#N/A,#N/A,FALSE,"Lease-Up";#N/A,#N/A,FALSE,"Tax Credit Analysis";#N/A,#N/A,FALSE,"Buyer's IRR";#N/A,#N/A,FALSE,"EP&amp;TCS";#N/A,#N/A,FALSE,"Min. Gain Calc."}</definedName>
    <definedName name="wrn.Lower._.Tier._.Analysis." hidden="1">{#N/A,#N/A,FALSE,"Summary";#N/A,#N/A,FALSE,"Sources and Uses";#N/A,#N/A,FALSE,"Qualified Basis";#N/A,#N/A,FALSE,"Rent and Unit Mix";#N/A,#N/A,FALSE,"Stabilized";#N/A,#N/A,FALSE,"Proforma Operations";#N/A,#N/A,FALSE,"Lease-Up";#N/A,#N/A,FALSE,"Tax Credit Analysis";#N/A,#N/A,FALSE,"Buyer's IRR";#N/A,#N/A,FALSE,"EP&amp;TCS";#N/A,#N/A,FALSE,"Min. Gain Calc."}</definedName>
    <definedName name="wrn.LTV._.Output." localSheetId="3" hidden="1">{"LTV Output",#N/A,FALSE,"Output"}</definedName>
    <definedName name="wrn.LTV._.Output." hidden="1">{"LTV Output",#N/A,FALSE,"Output"}</definedName>
    <definedName name="wrn.Market._.Values." localSheetId="3" hidden="1">{#N/A,#N/A,TRUE,"10 Yr Hold";#N/A,#N/A,TRUE,"7 Yr Hold";#N/A,#N/A,TRUE,"5 Yr Hold";#N/A,#N/A,TRUE,"3 Yr Hold"}</definedName>
    <definedName name="wrn.Market._.Values." hidden="1">{#N/A,#N/A,TRUE,"10 Yr Hold";#N/A,#N/A,TRUE,"7 Yr Hold";#N/A,#N/A,TRUE,"5 Yr Hold";#N/A,#N/A,TRUE,"3 Yr Hold"}</definedName>
    <definedName name="wrn.Marketing." localSheetId="3" hidden="1">{#N/A,#N/A,FALSE,"2Assumptions";#N/A,#N/A,FALSE,"3Cash Flow";#N/A,#N/A,FALSE,"I&amp;E";#N/A,#N/A,FALSE,"I&amp;E (2)";#N/A,#N/A,FALSE,"10Vacancy Matrix";#N/A,#N/A,FALSE,"11Expiration Schedule"}</definedName>
    <definedName name="wrn.Marketing." hidden="1">{#N/A,#N/A,FALSE,"2Assumptions";#N/A,#N/A,FALSE,"3Cash Flow";#N/A,#N/A,FALSE,"I&amp;E";#N/A,#N/A,FALSE,"I&amp;E (2)";#N/A,#N/A,FALSE,"10Vacancy Matrix";#N/A,#N/A,FALSE,"11Expiration Schedule"}</definedName>
    <definedName name="wrn.MATRICES._.and._.CFs." localSheetId="3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IRELF._.III._1" localSheetId="3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1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2" localSheetId="3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2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3" localSheetId="3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3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onthly._.financial." localSheetId="3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onthlyRentRoll." localSheetId="3" hidden="1">{"MonthlyRentRoll",#N/A,FALSE,"RentRoll"}</definedName>
    <definedName name="wrn.MonthlyRentRoll." hidden="1">{"MonthlyRentRoll",#N/A,FALSE,"RentRoll"}</definedName>
    <definedName name="wrn.New._.Report." localSheetId="3" hidden="1">{"Portfolio Analysis",#N/A,FALSE,"Portfolio Analysis";"Asset 1",#N/A,FALSE,"Portfolio Analysis";"Asset 2",#N/A,FALSE,"Portfolio Analysis";"Asset 3",#N/A,FALSE,"Portfolio Analysis";"Rent Roll 1",#N/A,FALSE,"Portfolio Analysis";"Rent Roll 2",#N/A,FALSE,"Portfolio Analysis";"Rent Roll 3",#N/A,FALSE,"Portfolio Analysis"}</definedName>
    <definedName name="wrn.New._.Report." hidden="1">{"Portfolio Analysis",#N/A,FALSE,"Portfolio Analysis";"Asset 1",#N/A,FALSE,"Portfolio Analysis";"Asset 2",#N/A,FALSE,"Portfolio Analysis";"Asset 3",#N/A,FALSE,"Portfolio Analysis";"Rent Roll 1",#N/A,FALSE,"Portfolio Analysis";"Rent Roll 2",#N/A,FALSE,"Portfolio Analysis";"Rent Roll 3",#N/A,FALSE,"Portfolio Analysis"}</definedName>
    <definedName name="wrn.Nico." localSheetId="3" hidden="1">{#N/A,#N/A,TRUE,"Cover";#N/A,#N/A,TRUE,"Transaction Summary";#N/A,#N/A,TRUE,"Earnings Impact";#N/A,#N/A,TRUE,"accretion dilution"}</definedName>
    <definedName name="wrn.Nico." hidden="1">{#N/A,#N/A,TRUE,"Cover";#N/A,#N/A,TRUE,"Transaction Summary";#N/A,#N/A,TRUE,"Earnings Impact";#N/A,#N/A,TRUE,"accretion dilution"}</definedName>
    <definedName name="wrn.NS._1" localSheetId="3" hidden="1">{"NS #1",#N/A,TRUE,"Model";"NS #2",#N/A,TRUE,"Model";"NS #3",#N/A,TRUE,"Model"}</definedName>
    <definedName name="wrn.NS._1" hidden="1">{"NS #1",#N/A,TRUE,"Model";"NS #2",#N/A,TRUE,"Model";"NS #3",#N/A,TRUE,"Model"}</definedName>
    <definedName name="wrn.NS._2" localSheetId="3" hidden="1">{"NS #1",#N/A,TRUE,"Model";"NS #2",#N/A,TRUE,"Model";"NS #3",#N/A,TRUE,"Model"}</definedName>
    <definedName name="wrn.NS._2" hidden="1">{"NS #1",#N/A,TRUE,"Model";"NS #2",#N/A,TRUE,"Model";"NS #3",#N/A,TRUE,"Model"}</definedName>
    <definedName name="wrn.NS._3" localSheetId="3" hidden="1">{"NS #1",#N/A,TRUE,"Model";"NS #2",#N/A,TRUE,"Model";"NS #3",#N/A,TRUE,"Model"}</definedName>
    <definedName name="wrn.NS._3" hidden="1">{"NS #1",#N/A,TRUE,"Model";"NS #2",#N/A,TRUE,"Model";"NS #3",#N/A,TRUE,"Model"}</definedName>
    <definedName name="wrn.Occupancy._.Calcs." localSheetId="3" hidden="1">{#N/A,#N/A,FALSE,"Occ. Calcs"}</definedName>
    <definedName name="wrn.Occupancy._.Calcs." hidden="1">{#N/A,#N/A,FALSE,"Occ. Calcs"}</definedName>
    <definedName name="wrn.ontario." localSheetId="3" hidden="1">{"page1",#N/A,FALSE,"sheet 1";"Page2",#N/A,FALSE,"sheet 1";"page3",#N/A,FALSE,"sheet 1";"page4",#N/A,FALSE,"sheet 1"}</definedName>
    <definedName name="wrn.ontario." hidden="1">{"page1",#N/A,FALSE,"sheet 1";"Page2",#N/A,FALSE,"sheet 1";"page3",#N/A,FALSE,"sheet 1";"page4",#N/A,FALSE,"sheet 1"}</definedName>
    <definedName name="wrn.OperatingAssumtions." localSheetId="3" hidden="1">{#N/A,#N/A,FALSE,"OperatingAssumptions"}</definedName>
    <definedName name="wrn.OperatingAssumtions." hidden="1">{#N/A,#N/A,FALSE,"OperatingAssumptions"}</definedName>
    <definedName name="wrn.Output3Column." localSheetId="3" hidden="1">{"Output-3Column",#N/A,FALSE,"Output"}</definedName>
    <definedName name="wrn.Output3Column." hidden="1">{"Output-3Column",#N/A,FALSE,"Output"}</definedName>
    <definedName name="wrn.OutputAll." localSheetId="3" hidden="1">{"Output-All",#N/A,FALSE,"Output"}</definedName>
    <definedName name="wrn.OutputAll." hidden="1">{"Output-All",#N/A,FALSE,"Output"}</definedName>
    <definedName name="wrn.OutputBaseYear." localSheetId="3" hidden="1">{"Output-BaseYear",#N/A,FALSE,"Output"}</definedName>
    <definedName name="wrn.OutputBaseYear." hidden="1">{"Output-BaseYear",#N/A,FALSE,"Output"}</definedName>
    <definedName name="wrn.OutputMin." localSheetId="3" hidden="1">{"Output-Min",#N/A,FALSE,"Output"}</definedName>
    <definedName name="wrn.OutputMin." hidden="1">{"Output-Min",#N/A,FALSE,"Output"}</definedName>
    <definedName name="wrn.OutputPercent." localSheetId="3" hidden="1">{"Output%",#N/A,FALSE,"Output"}</definedName>
    <definedName name="wrn.OutputPercent." hidden="1">{"Output%",#N/A,FALSE,"Output"}</definedName>
    <definedName name="wrn.p3" localSheetId="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ackage." localSheetId="3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rtial." localSheetId="3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_Template." localSheetId="3" hidden="1">{#N/A,#N/A,FALSE,"1Summary";#N/A,#N/A,FALSE,"2Assumptions";#N/A,#N/A,FALSE,"3Cash Flow";#N/A,#N/A,FALSE,"6Residual";#N/A,#N/A,FALSE,"AExpiration Schedule"}</definedName>
    <definedName name="wrn.Partial_Template." hidden="1">{#N/A,#N/A,FALSE,"1Summary";#N/A,#N/A,FALSE,"2Assumptions";#N/A,#N/A,FALSE,"3Cash Flow";#N/A,#N/A,FALSE,"6Residual";#N/A,#N/A,FALSE,"AExpiration Schedule"}</definedName>
    <definedName name="wrn.Penetration." localSheetId="3" hidden="1">{#N/A,#N/A,FALSE,"Mkt Pen"}</definedName>
    <definedName name="wrn.Penetration." hidden="1">{#N/A,#N/A,FALSE,"Mkt Pen"}</definedName>
    <definedName name="wrn.PHA._.Proformas." localSheetId="3" hidden="1">{"Proforma - 10y PHA All","all PHA",FALSE,"PHA Proformas";"Proforma - 10yr PHA op sub","op sub",FALSE,"PHA Proformas";"Proforma - 10yr cap only","cap only",FALSE,"PHA Proformas"}</definedName>
    <definedName name="wrn.PHA._.Proformas." hidden="1">{"Proforma - 10y PHA All","all PHA",FALSE,"PHA Proformas";"Proforma - 10yr PHA op sub","op sub",FALSE,"PHA Proformas";"Proforma - 10yr cap only","cap only",FALSE,"PHA Proformas"}</definedName>
    <definedName name="wrn.Portfolio." localSheetId="3" hidden="1">{#N/A,#N/A,FALSE,"Portfolio Summary";#N/A,#N/A,FALSE,"Portfolio Operating Stmt";#N/A,#N/A,FALSE,"Portfolio Cash Flow"}</definedName>
    <definedName name="wrn.Portfolio." hidden="1">{#N/A,#N/A,FALSE,"Portfolio Summary";#N/A,#N/A,FALSE,"Portfolio Operating Stmt";#N/A,#N/A,FALSE,"Portfolio Cash Flow"}</definedName>
    <definedName name="wrn.PR_TRIAL_BALANCE." localSheetId="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esentation." localSheetId="3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cing._.Strategy." localSheetId="3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mary._.Competition." localSheetId="3" hidden="1">{#N/A,#N/A,FALSE,"Primary"}</definedName>
    <definedName name="wrn.Primary._.Competition." hidden="1">{#N/A,#N/A,FALSE,"Primary"}</definedName>
    <definedName name="wrn.Print." localSheetId="3" hidden="1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name="wrn.Print." hidden="1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name="wrn.Print._.4." localSheetId="3" hidden="1">{"Outflow 1",#N/A,FALSE,"Outflows-Inflows";"Outflow 2",#N/A,FALSE,"Outflows-Inflows";"Inflow 1",#N/A,FALSE,"Outflows-Inflows";"Inflow 2",#N/A,FALSE,"Outflows-Inflows"}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localSheetId="3" hidden="1">{"print 1.6",#N/A,FALSE,"Sheet1";"print 2.6",#N/A,FALSE,"Sheet1";"print 3.6",#N/A,FALSE,"Sheet1";"print 4.6",#N/A,FALSE,"Sheet1";"print 5.6",#N/A,FALSE,"Sheet1";"print 6.6",#N/A,FALSE,"Sheet1"}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localSheetId="3" hidden="1">{"Regency",#N/A,FALSE,"Consolidated";"Laurel",#N/A,FALSE,"Consolidated";"Consolidated Unlevered",#N/A,FALSE,"Consolidated";"Consolidated Levered",#N/A,FALSE,"Consolidated"}</definedName>
    <definedName name="wrn.Print._.All." hidden="1">{"Regency",#N/A,FALSE,"Consolidated";"Laurel",#N/A,FALSE,"Consolidated";"Consolidated Unlevered",#N/A,FALSE,"Consolidated";"Consolidated Levered",#N/A,FALSE,"Consolidated"}</definedName>
    <definedName name="wrn.Print._.Entire._.Workbook." localSheetId="3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ntire._.Workbook.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Summary." localSheetId="3" hidden="1">{"Consolidated Unlevered",#N/A,FALSE,"Consolidated";"Consolidated Levered",#N/A,FALSE,"Consolidated"}</definedName>
    <definedName name="wrn.Print._.Summary." hidden="1">{"Consolidated Unlevered",#N/A,FALSE,"Consolidated";"Consolidated Levered",#N/A,FALSE,"Consolidated"}</definedName>
    <definedName name="wrn.Print._.Workbook." localSheetId="3" hidden="1">{#N/A,#N/A,FALSE,"Exec. Summ";#N/A,#N/A,FALSE,"Income";#N/A,#N/A,FALSE,"Expenses";#N/A,#N/A,FALSE,"Loan Options";#N/A,#N/A,FALSE,"Sources &amp; Uses";#N/A,#N/A,FALSE,"Spreadsheet"}</definedName>
    <definedName name="wrn.Print._.Workbook." hidden="1">{#N/A,#N/A,FALSE,"Exec. Summ";#N/A,#N/A,FALSE,"Income";#N/A,#N/A,FALSE,"Expenses";#N/A,#N/A,FALSE,"Loan Options";#N/A,#N/A,FALSE,"Sources &amp; Uses";#N/A,#N/A,FALSE,"Spreadsheet"}</definedName>
    <definedName name="wrn.PrintAll." localSheetId="3" hidden="1">{#N/A,#N/A,FALSE,"Broker Sheet";#N/A,#N/A,FALSE,"Exec.Summary";#N/A,#N/A,FALSE,"Argus Cash Flow";#N/A,#N/A,FALSE,"SPF";#N/A,#N/A,FALSE,"RentRoll"}</definedName>
    <definedName name="wrn.PrintAll." hidden="1">{#N/A,#N/A,FALSE,"Broker Sheet";#N/A,#N/A,FALSE,"Exec.Summary";#N/A,#N/A,FALSE,"Argus Cash Flow";#N/A,#N/A,FALSE,"SPF";#N/A,#N/A,FALSE,"RentRoll"}</definedName>
    <definedName name="wrn.Proforma." localSheetId="3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jection." localSheetId="3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pertyInformation." localSheetId="3" hidden="1">{#N/A,#N/A,FALSE,"PropertyInfo"}</definedName>
    <definedName name="wrn.PropertyInformation." hidden="1">{#N/A,#N/A,FALSE,"PropertyInfo"}</definedName>
    <definedName name="wrn.Pulp." localSheetId="3" hidden="1">{"Pulp Production",#N/A,FALSE,"Pulp";"Pulp Earnings",#N/A,FALSE,"Pulp"}</definedName>
    <definedName name="wrn.Pulp." hidden="1">{"Pulp Production",#N/A,FALSE,"Pulp";"Pulp Earnings",#N/A,FALSE,"Pulp"}</definedName>
    <definedName name="wrn.Quarterly._.Summary." localSheetId="3" hidden="1">{"qtrl1",#N/A,TRUE,"Annual Summary";"qtrl2",#N/A,TRUE,"Annual Summary";"qtrl3",#N/A,TRUE,"Annual Summary";"qtrl4",#N/A,TRUE,"QTLY Summary";"qtrl5",#N/A,TRUE,"QTLY Summary";"qtrl6",#N/A,TRUE,"QTLY Summary"}</definedName>
    <definedName name="wrn.Quarterly._.Summary." hidden="1">{"qtrl1",#N/A,TRUE,"Annual Summary";"qtrl2",#N/A,TRUE,"Annual Summary";"qtrl3",#N/A,TRUE,"Annual Summary";"qtrl4",#N/A,TRUE,"QTLY Summary";"qtrl5",#N/A,TRUE,"QTLY Summary";"qtrl6",#N/A,TRUE,"QTLY Summary"}</definedName>
    <definedName name="wrn.Realis._1" localSheetId="3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1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2" localSheetId="3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2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3" localSheetId="3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3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levant._.Sections." localSheetId="3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port." localSheetId="3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1" localSheetId="3" hidden="1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name="wrn.Report._1" hidden="1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name="wrn.Report._2" localSheetId="3" hidden="1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name="wrn.Report._2" hidden="1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name="wrn.Report._3" localSheetId="3" hidden="1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name="wrn.Report._3" hidden="1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name="wrn.Scenario." localSheetId="3" hidden="1">{"scen1",#N/A,FALSE,"Scenarios";"scen2",#N/A,FALSE,"Scenarios"}</definedName>
    <definedName name="wrn.Scenario." hidden="1">{"scen1",#N/A,FALSE,"Scenarios";"scen2",#N/A,FALSE,"Scenarios"}</definedName>
    <definedName name="wrn.Secondary._.Competition." localSheetId="3" hidden="1">{#N/A,#N/A,FALSE,"Secondary"}</definedName>
    <definedName name="wrn.Secondary._.Competition." hidden="1">{#N/A,#N/A,FALSE,"Secondary"}</definedName>
    <definedName name="wrn.Sensitivities." localSheetId="3" hidden="1">{"Sensitivities",#N/A,FALSE,"Consolidated"}</definedName>
    <definedName name="wrn.Sensitivities." hidden="1">{"Sensitivities",#N/A,FALSE,"Consolidated"}</definedName>
    <definedName name="wrn.Sensitivity._.Analysis." localSheetId="3" hidden="1">{"Sensitivity",#N/A,FALSE,"Sensitivity"}</definedName>
    <definedName name="wrn.Sensitivity._.Analysis." hidden="1">{"Sensitivity",#N/A,FALSE,"Sensitivity"}</definedName>
    <definedName name="wrn.Short._.Print." localSheetId="3" hidden="1">{#N/A,#N/A,FALSE,"Cover";#N/A,#N/A,FALSE,"Stack";#N/A,#N/A,FALSE,"Cost S";#N/A,#N/A,FALSE," CF";#N/A,#N/A,FALSE,"Investor"}</definedName>
    <definedName name="wrn.Short._.Print." hidden="1">{#N/A,#N/A,FALSE,"Cover";#N/A,#N/A,FALSE,"Stack";#N/A,#N/A,FALSE,"Cost S";#N/A,#N/A,FALSE," CF";#N/A,#N/A,FALSE,"Investor"}</definedName>
    <definedName name="wrn.Sources._.and._.Uses." localSheetId="3" hidden="1">{"Sources and Uses",#N/A,FALSE,"S&amp;U"}</definedName>
    <definedName name="wrn.Sources._.and._.Uses." hidden="1">{"Sources and Uses",#N/A,FALSE,"S&amp;U"}</definedName>
    <definedName name="wrn.Standard._.Numbers." localSheetId="3" hidden="1">{"Sources and Uses",#N/A,FALSE,"S&amp;U";"Summary",#N/A,FALSE,"Summary";"Fixed Rate Bonds",#N/A,FALSE,"Fixed";"VRDB Current Market",#N/A,FALSE,"VRDB-Cur";"VRDB 5 Year Average",#N/A,FALSE,"VRDB-His";"Bank Taxable",#N/A,FALSE,"Bank-Taxable"}</definedName>
    <definedName name="wrn.Standard._.Numbers." hidden="1">{"Sources and Uses",#N/A,FALSE,"S&amp;U";"Summary",#N/A,FALSE,"Summary";"Fixed Rate Bonds",#N/A,FALSE,"Fixed";"VRDB Current Market",#N/A,FALSE,"VRDB-Cur";"VRDB 5 Year Average",#N/A,FALSE,"VRDB-His";"Bank Taxable",#N/A,FALSE,"Bank-Taxable"}</definedName>
    <definedName name="wrn.Standard._.Reports." localSheetId="3" hidden="1">{#N/A,#N/A,FALSE,"Books";#N/A,#N/A,FALSE,"Barge";#N/A,#N/A,FALSE,"Insurance";#N/A,#N/A,FALSE,"Consolidated"}</definedName>
    <definedName name="wrn.Standard._.Reports." hidden="1">{#N/A,#N/A,FALSE,"Books";#N/A,#N/A,FALSE,"Barge";#N/A,#N/A,FALSE,"Insurance";#N/A,#N/A,FALSE,"Consolidated"}</definedName>
    <definedName name="wrn.Standard._1" localSheetId="3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ndard._1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ndard._2" localSheetId="3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ndard._2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ndard._3" localSheetId="3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ndard._3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ummary." localSheetId="3" hidden="1">{#N/A,#N/A,FALSE,"Summary"}</definedName>
    <definedName name="wrn.Summary." hidden="1">{#N/A,#N/A,FALSE,"Summary"}</definedName>
    <definedName name="wrn.Summary._.Page." localSheetId="3" hidden="1">{"Summary",#N/A,FALSE,"Summary"}</definedName>
    <definedName name="wrn.Summary._.Page." hidden="1">{"Summary",#N/A,FALSE,"Summary"}</definedName>
    <definedName name="wrn.Supply._.Additions." localSheetId="3" hidden="1">{#N/A,#N/A,FALSE,"Supply Addn"}</definedName>
    <definedName name="wrn.Supply._.Additions." hidden="1">{#N/A,#N/A,FALSE,"Supply Addn"}</definedName>
    <definedName name="wrn.Template." localSheetId="3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st._1" localSheetId="3" hidden="1">{"coverpage",#N/A,TRUE,"Sheet1";"valuation",#N/A,TRUE,"Sheet1"}</definedName>
    <definedName name="wrn.test._1" hidden="1">{"coverpage",#N/A,TRUE,"Sheet1";"valuation",#N/A,TRUE,"Sheet1"}</definedName>
    <definedName name="wrn.test._2" localSheetId="3" hidden="1">{"coverpage",#N/A,TRUE,"Sheet1";"valuation",#N/A,TRUE,"Sheet1"}</definedName>
    <definedName name="wrn.test._2" hidden="1">{"coverpage",#N/A,TRUE,"Sheet1";"valuation",#N/A,TRUE,"Sheet1"}</definedName>
    <definedName name="wrn.test._3" localSheetId="3" hidden="1">{"coverpage",#N/A,TRUE,"Sheet1";"valuation",#N/A,TRUE,"Sheet1"}</definedName>
    <definedName name="wrn.test._3" hidden="1">{"coverpage",#N/A,TRUE,"Sheet1";"valuation",#N/A,TRUE,"Sheet1"}</definedName>
    <definedName name="wrn.Tout._.Sauf._.BG." localSheetId="3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ycon._.Model." localSheetId="3" hidden="1">{"rtn",#N/A,FALSE,"RTN";"tables",#N/A,FALSE,"RTN";"cf",#N/A,FALSE,"CF";"stats",#N/A,FALSE,"Stats";"prop",#N/A,FALSE,"Prop"}</definedName>
    <definedName name="wrn.Tycon._.Model." hidden="1">{"rtn",#N/A,FALSE,"RTN";"tables",#N/A,FALSE,"RTN";"cf",#N/A,FALSE,"CF";"stats",#N/A,FALSE,"Stats";"prop",#N/A,FALSE,"Prop"}</definedName>
    <definedName name="wrn.Upstate._.NY._1" localSheetId="3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1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2" localSheetId="3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2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3" localSheetId="3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3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SSC_Reports." localSheetId="3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ALUATION." localSheetId="3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localSheetId="3" hidden="1">{#N/A,#N/A,FALSE,"Cashflow Analysis";#N/A,#N/A,FALSE,"Sensitivity Analysis";#N/A,#N/A,FALSE,"PV";#N/A,#N/A,FALSE,"Pro Forma"}</definedName>
    <definedName name="wrn.Value." hidden="1">{#N/A,#N/A,FALSE,"Cashflow Analysis";#N/A,#N/A,FALSE,"Sensitivity Analysis";#N/A,#N/A,FALSE,"PV";#N/A,#N/A,FALSE,"Pro Forma"}</definedName>
    <definedName name="wrn.Value.2" localSheetId="3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VRDB._.5._.Year._.Average." localSheetId="3" hidden="1">{"VRDB 5 Year Average",#N/A,FALSE,"VRDB-His"}</definedName>
    <definedName name="wrn.VRDB._.5._.Year._.Average." hidden="1">{"VRDB 5 Year Average",#N/A,FALSE,"VRDB-His"}</definedName>
    <definedName name="wrn.VRDB._.Current._.Market." localSheetId="3" hidden="1">{"VRDB Current Market",#N/A,FALSE,"VRDB-Cur"}</definedName>
    <definedName name="wrn.VRDB._.Current._.Market." hidden="1">{"VRDB Current Market",#N/A,FALSE,"VRDB-Cur"}</definedName>
    <definedName name="xxd" localSheetId="3" hidden="1">{#N/A,#N/A,FALSE,"Cashflow Analysis";#N/A,#N/A,FALSE,"Sensitivity Analysis";#N/A,#N/A,FALSE,"PV";#N/A,#N/A,FALSE,"Pro Forma"}</definedName>
    <definedName name="xxd" hidden="1">{#N/A,#N/A,FALSE,"Cashflow Analysis";#N/A,#N/A,FALSE,"Sensitivity Analysis";#N/A,#N/A,FALSE,"PV";#N/A,#N/A,FALSE,"Pro Forma"}</definedName>
    <definedName name="xxd.2" localSheetId="3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xxx" localSheetId="3" hidden="1">{#N/A,#N/A,FALSE,"ACQ_GRAPHS";#N/A,#N/A,FALSE,"T_1 GRAPHS";#N/A,#N/A,FALSE,"T_2 GRAPHS";#N/A,#N/A,FALSE,"COMB_GRAPHS"}</definedName>
    <definedName name="xxx" hidden="1">{#N/A,#N/A,FALSE,"ACQ_GRAPHS";#N/A,#N/A,FALSE,"T_1 GRAPHS";#N/A,#N/A,FALSE,"T_2 GRAPHS";#N/A,#N/A,FALSE,"COMB_GRAPHS"}</definedName>
    <definedName name="xxx3" localSheetId="3" hidden="1">{"AnnualRentRoll",#N/A,FALSE,"RentRoll"}</definedName>
    <definedName name="xxx3" hidden="1">{"AnnualRentRoll",#N/A,FALSE,"RentRoll"}</definedName>
    <definedName name="xxx4" localSheetId="3" hidden="1">{#N/A,#N/A,FALSE,"ExitStratigy"}</definedName>
    <definedName name="xxx4" hidden="1">{#N/A,#N/A,FALSE,"ExitStratigy"}</definedName>
    <definedName name="Z_53B97FD7_206F_4E0F_BD6E_C5CE50A4020E_.wvu.Cols" localSheetId="3" hidden="1">#REF!,#REF!</definedName>
    <definedName name="Z_53B97FD7_206F_4E0F_BD6E_C5CE50A4020E_.wvu.Cols" hidden="1">#REF!,#REF!</definedName>
    <definedName name="Z_53B97FD7_206F_4E0F_BD6E_C5CE50A4020E_.wvu.Rows" localSheetId="3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53B97FD7_206F_4E0F_BD6E_C5CE50A4020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80E05628_A34C_4666_9DEC_E528308A36DF_.wvu.Rows" localSheetId="3" hidden="1">#REF!,#REF!,#REF!,#REF!,#REF!,#REF!,#REF!,#REF!,#REF!,#REF!,#REF!,#REF!,#REF!,#REF!,#REF!,#REF!,#REF!,#REF!</definedName>
    <definedName name="Z_80E05628_A34C_4666_9DEC_E528308A36DF_.wvu.Rows" hidden="1">#REF!,#REF!,#REF!,#REF!,#REF!,#REF!,#REF!,#REF!,#REF!,#REF!,#REF!,#REF!,#REF!,#REF!,#REF!,#REF!,#REF!,#REF!</definedName>
    <definedName name="Z_B8D30F00_07A3_48E4_982B_7D435ADE48EE_.wvu.Cols" localSheetId="3" hidden="1">#REF!,#REF!</definedName>
    <definedName name="Z_B8D30F00_07A3_48E4_982B_7D435ADE48EE_.wvu.Cols" hidden="1">#REF!,#REF!</definedName>
    <definedName name="Z_B8D30F00_07A3_48E4_982B_7D435ADE48EE_.wvu.PrintArea" localSheetId="3" hidden="1">#REF!</definedName>
    <definedName name="Z_B8D30F00_07A3_48E4_982B_7D435ADE48EE_.wvu.PrintArea" hidden="1">#REF!</definedName>
    <definedName name="Z_B8D30F00_07A3_48E4_982B_7D435ADE48EE_.wvu.Rows" localSheetId="3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B8D30F00_07A3_48E4_982B_7D435ADE48E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0" i="3" l="1"/>
  <c r="C4" i="3"/>
  <c r="C4" i="4"/>
  <c r="B2" i="4" s="1"/>
  <c r="AL41" i="4"/>
  <c r="AL40" i="4"/>
  <c r="AL39" i="4"/>
  <c r="AL38" i="4"/>
  <c r="AL37" i="4"/>
  <c r="AL36" i="4"/>
  <c r="AL35" i="4"/>
  <c r="AL34" i="4"/>
  <c r="AL33" i="4"/>
  <c r="AL32" i="4"/>
  <c r="AL31" i="4"/>
  <c r="AL30" i="4"/>
  <c r="AL29" i="4"/>
  <c r="AL28" i="4"/>
  <c r="AL27" i="4"/>
  <c r="AL26" i="4"/>
  <c r="AL25" i="4"/>
  <c r="AL24" i="4"/>
  <c r="AL23" i="4"/>
  <c r="AL22" i="4"/>
  <c r="AL21" i="4"/>
  <c r="AL20" i="4"/>
  <c r="AL19" i="4"/>
  <c r="AL18" i="4"/>
  <c r="AL17" i="4"/>
  <c r="AL16" i="4"/>
  <c r="AL15" i="4"/>
  <c r="AL14" i="4"/>
  <c r="AL13" i="4"/>
  <c r="AL12" i="4"/>
  <c r="AL11" i="4"/>
  <c r="AL10" i="4"/>
  <c r="P619" i="4"/>
  <c r="L619" i="4"/>
  <c r="K619" i="4"/>
  <c r="P618" i="4"/>
  <c r="L618" i="4"/>
  <c r="K618" i="4"/>
  <c r="P617" i="4"/>
  <c r="L617" i="4"/>
  <c r="K617" i="4"/>
  <c r="P616" i="4"/>
  <c r="L616" i="4"/>
  <c r="K616" i="4"/>
  <c r="P615" i="4"/>
  <c r="L615" i="4"/>
  <c r="K615" i="4"/>
  <c r="P614" i="4"/>
  <c r="L614" i="4"/>
  <c r="K614" i="4"/>
  <c r="P613" i="4"/>
  <c r="L613" i="4"/>
  <c r="K613" i="4"/>
  <c r="P612" i="4"/>
  <c r="L612" i="4"/>
  <c r="K612" i="4"/>
  <c r="P611" i="4"/>
  <c r="L611" i="4"/>
  <c r="K611" i="4"/>
  <c r="P610" i="4"/>
  <c r="L610" i="4"/>
  <c r="K610" i="4"/>
  <c r="P609" i="4"/>
  <c r="L609" i="4"/>
  <c r="K609" i="4"/>
  <c r="P608" i="4"/>
  <c r="L608" i="4"/>
  <c r="K608" i="4"/>
  <c r="P607" i="4"/>
  <c r="L607" i="4"/>
  <c r="K607" i="4"/>
  <c r="P606" i="4"/>
  <c r="L606" i="4"/>
  <c r="K606" i="4"/>
  <c r="P605" i="4"/>
  <c r="L605" i="4"/>
  <c r="K605" i="4"/>
  <c r="P604" i="4"/>
  <c r="L604" i="4"/>
  <c r="K604" i="4"/>
  <c r="P603" i="4"/>
  <c r="L603" i="4"/>
  <c r="K603" i="4"/>
  <c r="P602" i="4"/>
  <c r="L602" i="4"/>
  <c r="K602" i="4"/>
  <c r="P601" i="4"/>
  <c r="L601" i="4"/>
  <c r="K601" i="4"/>
  <c r="P600" i="4"/>
  <c r="L600" i="4"/>
  <c r="K600" i="4"/>
  <c r="P599" i="4"/>
  <c r="L599" i="4"/>
  <c r="K599" i="4"/>
  <c r="P598" i="4"/>
  <c r="L598" i="4"/>
  <c r="K598" i="4"/>
  <c r="P597" i="4"/>
  <c r="L597" i="4"/>
  <c r="K597" i="4"/>
  <c r="P596" i="4"/>
  <c r="L596" i="4"/>
  <c r="K596" i="4"/>
  <c r="P595" i="4"/>
  <c r="L595" i="4"/>
  <c r="K595" i="4"/>
  <c r="P594" i="4"/>
  <c r="L594" i="4"/>
  <c r="K594" i="4"/>
  <c r="P593" i="4"/>
  <c r="L593" i="4"/>
  <c r="K593" i="4"/>
  <c r="P592" i="4"/>
  <c r="L592" i="4"/>
  <c r="K592" i="4"/>
  <c r="P591" i="4"/>
  <c r="L591" i="4"/>
  <c r="K591" i="4"/>
  <c r="P590" i="4"/>
  <c r="L590" i="4"/>
  <c r="K590" i="4"/>
  <c r="P589" i="4"/>
  <c r="L589" i="4"/>
  <c r="K589" i="4"/>
  <c r="P588" i="4"/>
  <c r="L588" i="4"/>
  <c r="K588" i="4"/>
  <c r="P587" i="4"/>
  <c r="L587" i="4"/>
  <c r="K587" i="4"/>
  <c r="P586" i="4"/>
  <c r="L586" i="4"/>
  <c r="K586" i="4"/>
  <c r="P585" i="4"/>
  <c r="L585" i="4"/>
  <c r="K585" i="4"/>
  <c r="P584" i="4"/>
  <c r="L584" i="4"/>
  <c r="K584" i="4"/>
  <c r="P583" i="4"/>
  <c r="L583" i="4"/>
  <c r="K583" i="4"/>
  <c r="P582" i="4"/>
  <c r="L582" i="4"/>
  <c r="K582" i="4"/>
  <c r="P581" i="4"/>
  <c r="L581" i="4"/>
  <c r="K581" i="4"/>
  <c r="P580" i="4"/>
  <c r="L580" i="4"/>
  <c r="K580" i="4"/>
  <c r="P579" i="4"/>
  <c r="L579" i="4"/>
  <c r="K579" i="4"/>
  <c r="P578" i="4"/>
  <c r="L578" i="4"/>
  <c r="K578" i="4"/>
  <c r="P577" i="4"/>
  <c r="L577" i="4"/>
  <c r="K577" i="4"/>
  <c r="P576" i="4"/>
  <c r="L576" i="4"/>
  <c r="K576" i="4"/>
  <c r="P575" i="4"/>
  <c r="L575" i="4"/>
  <c r="K575" i="4"/>
  <c r="P574" i="4"/>
  <c r="L574" i="4"/>
  <c r="K574" i="4"/>
  <c r="P573" i="4"/>
  <c r="L573" i="4"/>
  <c r="K573" i="4"/>
  <c r="P572" i="4"/>
  <c r="L572" i="4"/>
  <c r="K572" i="4"/>
  <c r="P571" i="4"/>
  <c r="L571" i="4"/>
  <c r="K571" i="4"/>
  <c r="P570" i="4"/>
  <c r="L570" i="4"/>
  <c r="K570" i="4"/>
  <c r="P569" i="4"/>
  <c r="L569" i="4"/>
  <c r="K569" i="4"/>
  <c r="P568" i="4"/>
  <c r="L568" i="4"/>
  <c r="K568" i="4"/>
  <c r="P567" i="4"/>
  <c r="L567" i="4"/>
  <c r="K567" i="4"/>
  <c r="P566" i="4"/>
  <c r="L566" i="4"/>
  <c r="K566" i="4"/>
  <c r="P565" i="4"/>
  <c r="L565" i="4"/>
  <c r="K565" i="4"/>
  <c r="P564" i="4"/>
  <c r="L564" i="4"/>
  <c r="K564" i="4"/>
  <c r="P563" i="4"/>
  <c r="L563" i="4"/>
  <c r="K563" i="4"/>
  <c r="P562" i="4"/>
  <c r="L562" i="4"/>
  <c r="K562" i="4"/>
  <c r="P561" i="4"/>
  <c r="L561" i="4"/>
  <c r="K561" i="4"/>
  <c r="P560" i="4"/>
  <c r="L560" i="4"/>
  <c r="K560" i="4"/>
  <c r="P559" i="4"/>
  <c r="L559" i="4"/>
  <c r="K559" i="4"/>
  <c r="P558" i="4"/>
  <c r="L558" i="4"/>
  <c r="K558" i="4"/>
  <c r="P557" i="4"/>
  <c r="L557" i="4"/>
  <c r="K557" i="4"/>
  <c r="P556" i="4"/>
  <c r="L556" i="4"/>
  <c r="K556" i="4"/>
  <c r="P555" i="4"/>
  <c r="L555" i="4"/>
  <c r="K555" i="4"/>
  <c r="P554" i="4"/>
  <c r="L554" i="4"/>
  <c r="K554" i="4"/>
  <c r="P553" i="4"/>
  <c r="L553" i="4"/>
  <c r="K553" i="4"/>
  <c r="P552" i="4"/>
  <c r="L552" i="4"/>
  <c r="K552" i="4"/>
  <c r="P551" i="4"/>
  <c r="L551" i="4"/>
  <c r="K551" i="4"/>
  <c r="P550" i="4"/>
  <c r="L550" i="4"/>
  <c r="K550" i="4"/>
  <c r="P549" i="4"/>
  <c r="L549" i="4"/>
  <c r="K549" i="4"/>
  <c r="P548" i="4"/>
  <c r="L548" i="4"/>
  <c r="K548" i="4"/>
  <c r="P547" i="4"/>
  <c r="L547" i="4"/>
  <c r="K547" i="4"/>
  <c r="P546" i="4"/>
  <c r="L546" i="4"/>
  <c r="K546" i="4"/>
  <c r="P545" i="4"/>
  <c r="L545" i="4"/>
  <c r="K545" i="4"/>
  <c r="P544" i="4"/>
  <c r="L544" i="4"/>
  <c r="K544" i="4"/>
  <c r="P543" i="4"/>
  <c r="L543" i="4"/>
  <c r="K543" i="4"/>
  <c r="P542" i="4"/>
  <c r="L542" i="4"/>
  <c r="K542" i="4"/>
  <c r="P541" i="4"/>
  <c r="L541" i="4"/>
  <c r="K541" i="4"/>
  <c r="P540" i="4"/>
  <c r="L540" i="4"/>
  <c r="K540" i="4"/>
  <c r="P539" i="4"/>
  <c r="L539" i="4"/>
  <c r="K539" i="4"/>
  <c r="P538" i="4"/>
  <c r="L538" i="4"/>
  <c r="K538" i="4"/>
  <c r="P537" i="4"/>
  <c r="L537" i="4"/>
  <c r="K537" i="4"/>
  <c r="P536" i="4"/>
  <c r="L536" i="4"/>
  <c r="K536" i="4"/>
  <c r="P535" i="4"/>
  <c r="L535" i="4"/>
  <c r="K535" i="4"/>
  <c r="P534" i="4"/>
  <c r="L534" i="4"/>
  <c r="K534" i="4"/>
  <c r="P533" i="4"/>
  <c r="L533" i="4"/>
  <c r="K533" i="4"/>
  <c r="P532" i="4"/>
  <c r="L532" i="4"/>
  <c r="K532" i="4"/>
  <c r="P531" i="4"/>
  <c r="L531" i="4"/>
  <c r="K531" i="4"/>
  <c r="P530" i="4"/>
  <c r="L530" i="4"/>
  <c r="K530" i="4"/>
  <c r="P529" i="4"/>
  <c r="L529" i="4"/>
  <c r="K529" i="4"/>
  <c r="P528" i="4"/>
  <c r="L528" i="4"/>
  <c r="K528" i="4"/>
  <c r="P527" i="4"/>
  <c r="L527" i="4"/>
  <c r="K527" i="4"/>
  <c r="P526" i="4"/>
  <c r="L526" i="4"/>
  <c r="K526" i="4"/>
  <c r="P525" i="4"/>
  <c r="L525" i="4"/>
  <c r="K525" i="4"/>
  <c r="P524" i="4"/>
  <c r="L524" i="4"/>
  <c r="K524" i="4"/>
  <c r="P523" i="4"/>
  <c r="L523" i="4"/>
  <c r="K523" i="4"/>
  <c r="P522" i="4"/>
  <c r="L522" i="4"/>
  <c r="K522" i="4"/>
  <c r="P521" i="4"/>
  <c r="L521" i="4"/>
  <c r="K521" i="4"/>
  <c r="P520" i="4"/>
  <c r="L520" i="4"/>
  <c r="K520" i="4"/>
  <c r="P519" i="4"/>
  <c r="L519" i="4"/>
  <c r="K519" i="4"/>
  <c r="P518" i="4"/>
  <c r="L518" i="4"/>
  <c r="K518" i="4"/>
  <c r="P517" i="4"/>
  <c r="L517" i="4"/>
  <c r="K517" i="4"/>
  <c r="P516" i="4"/>
  <c r="L516" i="4"/>
  <c r="K516" i="4"/>
  <c r="P515" i="4"/>
  <c r="L515" i="4"/>
  <c r="K515" i="4"/>
  <c r="P514" i="4"/>
  <c r="L514" i="4"/>
  <c r="K514" i="4"/>
  <c r="P513" i="4"/>
  <c r="L513" i="4"/>
  <c r="K513" i="4"/>
  <c r="P512" i="4"/>
  <c r="L512" i="4"/>
  <c r="K512" i="4"/>
  <c r="P511" i="4"/>
  <c r="L511" i="4"/>
  <c r="K511" i="4"/>
  <c r="P510" i="4"/>
  <c r="L510" i="4"/>
  <c r="K510" i="4"/>
  <c r="P509" i="4"/>
  <c r="L509" i="4"/>
  <c r="K509" i="4"/>
  <c r="P508" i="4"/>
  <c r="L508" i="4"/>
  <c r="K508" i="4"/>
  <c r="P507" i="4"/>
  <c r="L507" i="4"/>
  <c r="K507" i="4"/>
  <c r="P506" i="4"/>
  <c r="L506" i="4"/>
  <c r="K506" i="4"/>
  <c r="P505" i="4"/>
  <c r="L505" i="4"/>
  <c r="K505" i="4"/>
  <c r="P504" i="4"/>
  <c r="L504" i="4"/>
  <c r="K504" i="4"/>
  <c r="P503" i="4"/>
  <c r="L503" i="4"/>
  <c r="K503" i="4"/>
  <c r="P502" i="4"/>
  <c r="L502" i="4"/>
  <c r="K502" i="4"/>
  <c r="P501" i="4"/>
  <c r="L501" i="4"/>
  <c r="K501" i="4"/>
  <c r="P500" i="4"/>
  <c r="L500" i="4"/>
  <c r="K500" i="4"/>
  <c r="P499" i="4"/>
  <c r="L499" i="4"/>
  <c r="K499" i="4"/>
  <c r="P498" i="4"/>
  <c r="L498" i="4"/>
  <c r="K498" i="4"/>
  <c r="P497" i="4"/>
  <c r="L497" i="4"/>
  <c r="K497" i="4"/>
  <c r="P496" i="4"/>
  <c r="L496" i="4"/>
  <c r="K496" i="4"/>
  <c r="P495" i="4"/>
  <c r="L495" i="4"/>
  <c r="K495" i="4"/>
  <c r="P494" i="4"/>
  <c r="L494" i="4"/>
  <c r="K494" i="4"/>
  <c r="P493" i="4"/>
  <c r="L493" i="4"/>
  <c r="K493" i="4"/>
  <c r="P492" i="4"/>
  <c r="L492" i="4"/>
  <c r="K492" i="4"/>
  <c r="P491" i="4"/>
  <c r="L491" i="4"/>
  <c r="K491" i="4"/>
  <c r="P490" i="4"/>
  <c r="L490" i="4"/>
  <c r="K490" i="4"/>
  <c r="P489" i="4"/>
  <c r="L489" i="4"/>
  <c r="K489" i="4"/>
  <c r="P488" i="4"/>
  <c r="L488" i="4"/>
  <c r="K488" i="4"/>
  <c r="P487" i="4"/>
  <c r="L487" i="4"/>
  <c r="K487" i="4"/>
  <c r="P486" i="4"/>
  <c r="L486" i="4"/>
  <c r="K486" i="4"/>
  <c r="P485" i="4"/>
  <c r="L485" i="4"/>
  <c r="K485" i="4"/>
  <c r="P484" i="4"/>
  <c r="L484" i="4"/>
  <c r="K484" i="4"/>
  <c r="P483" i="4"/>
  <c r="L483" i="4"/>
  <c r="K483" i="4"/>
  <c r="P482" i="4"/>
  <c r="L482" i="4"/>
  <c r="K482" i="4"/>
  <c r="P481" i="4"/>
  <c r="L481" i="4"/>
  <c r="K481" i="4"/>
  <c r="P480" i="4"/>
  <c r="L480" i="4"/>
  <c r="K480" i="4"/>
  <c r="P479" i="4"/>
  <c r="L479" i="4"/>
  <c r="K479" i="4"/>
  <c r="P478" i="4"/>
  <c r="L478" i="4"/>
  <c r="K478" i="4"/>
  <c r="P477" i="4"/>
  <c r="L477" i="4"/>
  <c r="K477" i="4"/>
  <c r="P476" i="4"/>
  <c r="L476" i="4"/>
  <c r="K476" i="4"/>
  <c r="P475" i="4"/>
  <c r="L475" i="4"/>
  <c r="K475" i="4"/>
  <c r="P474" i="4"/>
  <c r="L474" i="4"/>
  <c r="K474" i="4"/>
  <c r="P473" i="4"/>
  <c r="L473" i="4"/>
  <c r="K473" i="4"/>
  <c r="P472" i="4"/>
  <c r="L472" i="4"/>
  <c r="K472" i="4"/>
  <c r="P471" i="4"/>
  <c r="L471" i="4"/>
  <c r="K471" i="4"/>
  <c r="P470" i="4"/>
  <c r="L470" i="4"/>
  <c r="K470" i="4"/>
  <c r="P469" i="4"/>
  <c r="L469" i="4"/>
  <c r="K469" i="4"/>
  <c r="P468" i="4"/>
  <c r="L468" i="4"/>
  <c r="K468" i="4"/>
  <c r="P467" i="4"/>
  <c r="L467" i="4"/>
  <c r="K467" i="4"/>
  <c r="P466" i="4"/>
  <c r="L466" i="4"/>
  <c r="K466" i="4"/>
  <c r="P465" i="4"/>
  <c r="L465" i="4"/>
  <c r="K465" i="4"/>
  <c r="P464" i="4"/>
  <c r="L464" i="4"/>
  <c r="K464" i="4"/>
  <c r="P463" i="4"/>
  <c r="L463" i="4"/>
  <c r="K463" i="4"/>
  <c r="P462" i="4"/>
  <c r="L462" i="4"/>
  <c r="K462" i="4"/>
  <c r="P461" i="4"/>
  <c r="L461" i="4"/>
  <c r="K461" i="4"/>
  <c r="P460" i="4"/>
  <c r="L460" i="4"/>
  <c r="K460" i="4"/>
  <c r="P459" i="4"/>
  <c r="L459" i="4"/>
  <c r="K459" i="4"/>
  <c r="P458" i="4"/>
  <c r="L458" i="4"/>
  <c r="K458" i="4"/>
  <c r="P457" i="4"/>
  <c r="L457" i="4"/>
  <c r="K457" i="4"/>
  <c r="P456" i="4"/>
  <c r="L456" i="4"/>
  <c r="K456" i="4"/>
  <c r="P455" i="4"/>
  <c r="L455" i="4"/>
  <c r="K455" i="4"/>
  <c r="P454" i="4"/>
  <c r="L454" i="4"/>
  <c r="K454" i="4"/>
  <c r="P453" i="4"/>
  <c r="L453" i="4"/>
  <c r="K453" i="4"/>
  <c r="P452" i="4"/>
  <c r="L452" i="4"/>
  <c r="K452" i="4"/>
  <c r="P451" i="4"/>
  <c r="L451" i="4"/>
  <c r="K451" i="4"/>
  <c r="P450" i="4"/>
  <c r="L450" i="4"/>
  <c r="K450" i="4"/>
  <c r="P449" i="4"/>
  <c r="L449" i="4"/>
  <c r="K449" i="4"/>
  <c r="P448" i="4"/>
  <c r="L448" i="4"/>
  <c r="K448" i="4"/>
  <c r="P447" i="4"/>
  <c r="L447" i="4"/>
  <c r="K447" i="4"/>
  <c r="P446" i="4"/>
  <c r="L446" i="4"/>
  <c r="K446" i="4"/>
  <c r="P445" i="4"/>
  <c r="L445" i="4"/>
  <c r="K445" i="4"/>
  <c r="P444" i="4"/>
  <c r="L444" i="4"/>
  <c r="K444" i="4"/>
  <c r="P443" i="4"/>
  <c r="L443" i="4"/>
  <c r="K443" i="4"/>
  <c r="P442" i="4"/>
  <c r="L442" i="4"/>
  <c r="K442" i="4"/>
  <c r="P441" i="4"/>
  <c r="L441" i="4"/>
  <c r="K441" i="4"/>
  <c r="P440" i="4"/>
  <c r="L440" i="4"/>
  <c r="K440" i="4"/>
  <c r="P439" i="4"/>
  <c r="L439" i="4"/>
  <c r="K439" i="4"/>
  <c r="P438" i="4"/>
  <c r="L438" i="4"/>
  <c r="K438" i="4"/>
  <c r="P437" i="4"/>
  <c r="L437" i="4"/>
  <c r="K437" i="4"/>
  <c r="P436" i="4"/>
  <c r="L436" i="4"/>
  <c r="K436" i="4"/>
  <c r="P435" i="4"/>
  <c r="L435" i="4"/>
  <c r="K435" i="4"/>
  <c r="P434" i="4"/>
  <c r="L434" i="4"/>
  <c r="K434" i="4"/>
  <c r="P433" i="4"/>
  <c r="L433" i="4"/>
  <c r="K433" i="4"/>
  <c r="P432" i="4"/>
  <c r="L432" i="4"/>
  <c r="K432" i="4"/>
  <c r="P431" i="4"/>
  <c r="L431" i="4"/>
  <c r="K431" i="4"/>
  <c r="P430" i="4"/>
  <c r="L430" i="4"/>
  <c r="K430" i="4"/>
  <c r="P429" i="4"/>
  <c r="L429" i="4"/>
  <c r="K429" i="4"/>
  <c r="P428" i="4"/>
  <c r="L428" i="4"/>
  <c r="K428" i="4"/>
  <c r="P427" i="4"/>
  <c r="L427" i="4"/>
  <c r="K427" i="4"/>
  <c r="P426" i="4"/>
  <c r="L426" i="4"/>
  <c r="K426" i="4"/>
  <c r="P425" i="4"/>
  <c r="L425" i="4"/>
  <c r="K425" i="4"/>
  <c r="P424" i="4"/>
  <c r="L424" i="4"/>
  <c r="K424" i="4"/>
  <c r="P423" i="4"/>
  <c r="L423" i="4"/>
  <c r="K423" i="4"/>
  <c r="P422" i="4"/>
  <c r="L422" i="4"/>
  <c r="K422" i="4"/>
  <c r="P421" i="4"/>
  <c r="L421" i="4"/>
  <c r="K421" i="4"/>
  <c r="P420" i="4"/>
  <c r="L420" i="4"/>
  <c r="K420" i="4"/>
  <c r="P419" i="4"/>
  <c r="L419" i="4"/>
  <c r="K419" i="4"/>
  <c r="P418" i="4"/>
  <c r="L418" i="4"/>
  <c r="K418" i="4"/>
  <c r="P417" i="4"/>
  <c r="L417" i="4"/>
  <c r="K417" i="4"/>
  <c r="P416" i="4"/>
  <c r="L416" i="4"/>
  <c r="K416" i="4"/>
  <c r="P415" i="4"/>
  <c r="L415" i="4"/>
  <c r="K415" i="4"/>
  <c r="P414" i="4"/>
  <c r="L414" i="4"/>
  <c r="K414" i="4"/>
  <c r="P413" i="4"/>
  <c r="L413" i="4"/>
  <c r="K413" i="4"/>
  <c r="P412" i="4"/>
  <c r="L412" i="4"/>
  <c r="K412" i="4"/>
  <c r="P411" i="4"/>
  <c r="L411" i="4"/>
  <c r="K411" i="4"/>
  <c r="P410" i="4"/>
  <c r="L410" i="4"/>
  <c r="K410" i="4"/>
  <c r="P409" i="4"/>
  <c r="L409" i="4"/>
  <c r="K409" i="4"/>
  <c r="P408" i="4"/>
  <c r="L408" i="4"/>
  <c r="K408" i="4"/>
  <c r="P407" i="4"/>
  <c r="L407" i="4"/>
  <c r="K407" i="4"/>
  <c r="P406" i="4"/>
  <c r="L406" i="4"/>
  <c r="K406" i="4"/>
  <c r="P405" i="4"/>
  <c r="L405" i="4"/>
  <c r="K405" i="4"/>
  <c r="P404" i="4"/>
  <c r="L404" i="4"/>
  <c r="K404" i="4"/>
  <c r="P403" i="4"/>
  <c r="L403" i="4"/>
  <c r="K403" i="4"/>
  <c r="P402" i="4"/>
  <c r="L402" i="4"/>
  <c r="K402" i="4"/>
  <c r="P401" i="4"/>
  <c r="L401" i="4"/>
  <c r="K401" i="4"/>
  <c r="P400" i="4"/>
  <c r="L400" i="4"/>
  <c r="K400" i="4"/>
  <c r="P399" i="4"/>
  <c r="L399" i="4"/>
  <c r="K399" i="4"/>
  <c r="P398" i="4"/>
  <c r="L398" i="4"/>
  <c r="K398" i="4"/>
  <c r="P397" i="4"/>
  <c r="L397" i="4"/>
  <c r="K397" i="4"/>
  <c r="P396" i="4"/>
  <c r="L396" i="4"/>
  <c r="K396" i="4"/>
  <c r="P395" i="4"/>
  <c r="L395" i="4"/>
  <c r="K395" i="4"/>
  <c r="P394" i="4"/>
  <c r="L394" i="4"/>
  <c r="K394" i="4"/>
  <c r="P393" i="4"/>
  <c r="L393" i="4"/>
  <c r="K393" i="4"/>
  <c r="P392" i="4"/>
  <c r="L392" i="4"/>
  <c r="K392" i="4"/>
  <c r="P391" i="4"/>
  <c r="L391" i="4"/>
  <c r="K391" i="4"/>
  <c r="P390" i="4"/>
  <c r="L390" i="4"/>
  <c r="K390" i="4"/>
  <c r="P389" i="4"/>
  <c r="L389" i="4"/>
  <c r="K389" i="4"/>
  <c r="P388" i="4"/>
  <c r="L388" i="4"/>
  <c r="K388" i="4"/>
  <c r="P387" i="4"/>
  <c r="L387" i="4"/>
  <c r="K387" i="4"/>
  <c r="P386" i="4"/>
  <c r="L386" i="4"/>
  <c r="K386" i="4"/>
  <c r="P385" i="4"/>
  <c r="L385" i="4"/>
  <c r="K385" i="4"/>
  <c r="P384" i="4"/>
  <c r="L384" i="4"/>
  <c r="K384" i="4"/>
  <c r="P383" i="4"/>
  <c r="L383" i="4"/>
  <c r="K383" i="4"/>
  <c r="P382" i="4"/>
  <c r="L382" i="4"/>
  <c r="K382" i="4"/>
  <c r="P381" i="4"/>
  <c r="L381" i="4"/>
  <c r="K381" i="4"/>
  <c r="P380" i="4"/>
  <c r="L380" i="4"/>
  <c r="K380" i="4"/>
  <c r="P379" i="4"/>
  <c r="L379" i="4"/>
  <c r="K379" i="4"/>
  <c r="P378" i="4"/>
  <c r="L378" i="4"/>
  <c r="K378" i="4"/>
  <c r="P377" i="4"/>
  <c r="L377" i="4"/>
  <c r="K377" i="4"/>
  <c r="P376" i="4"/>
  <c r="L376" i="4"/>
  <c r="K376" i="4"/>
  <c r="P375" i="4"/>
  <c r="L375" i="4"/>
  <c r="K375" i="4"/>
  <c r="P374" i="4"/>
  <c r="L374" i="4"/>
  <c r="K374" i="4"/>
  <c r="P373" i="4"/>
  <c r="L373" i="4"/>
  <c r="K373" i="4"/>
  <c r="P372" i="4"/>
  <c r="L372" i="4"/>
  <c r="K372" i="4"/>
  <c r="P371" i="4"/>
  <c r="L371" i="4"/>
  <c r="K371" i="4"/>
  <c r="P370" i="4"/>
  <c r="L370" i="4"/>
  <c r="K370" i="4"/>
  <c r="P369" i="4"/>
  <c r="L369" i="4"/>
  <c r="K369" i="4"/>
  <c r="P368" i="4"/>
  <c r="L368" i="4"/>
  <c r="K368" i="4"/>
  <c r="P367" i="4"/>
  <c r="L367" i="4"/>
  <c r="K367" i="4"/>
  <c r="P366" i="4"/>
  <c r="L366" i="4"/>
  <c r="K366" i="4"/>
  <c r="P365" i="4"/>
  <c r="L365" i="4"/>
  <c r="K365" i="4"/>
  <c r="P364" i="4"/>
  <c r="L364" i="4"/>
  <c r="K364" i="4"/>
  <c r="P363" i="4"/>
  <c r="L363" i="4"/>
  <c r="K363" i="4"/>
  <c r="P362" i="4"/>
  <c r="L362" i="4"/>
  <c r="K362" i="4"/>
  <c r="P361" i="4"/>
  <c r="L361" i="4"/>
  <c r="K361" i="4"/>
  <c r="P360" i="4"/>
  <c r="L360" i="4"/>
  <c r="K360" i="4"/>
  <c r="P359" i="4"/>
  <c r="L359" i="4"/>
  <c r="K359" i="4"/>
  <c r="P358" i="4"/>
  <c r="L358" i="4"/>
  <c r="K358" i="4"/>
  <c r="P357" i="4"/>
  <c r="L357" i="4"/>
  <c r="K357" i="4"/>
  <c r="P356" i="4"/>
  <c r="L356" i="4"/>
  <c r="K356" i="4"/>
  <c r="P355" i="4"/>
  <c r="L355" i="4"/>
  <c r="K355" i="4"/>
  <c r="P354" i="4"/>
  <c r="L354" i="4"/>
  <c r="K354" i="4"/>
  <c r="P353" i="4"/>
  <c r="L353" i="4"/>
  <c r="K353" i="4"/>
  <c r="P352" i="4"/>
  <c r="L352" i="4"/>
  <c r="K352" i="4"/>
  <c r="P351" i="4"/>
  <c r="L351" i="4"/>
  <c r="K351" i="4"/>
  <c r="P350" i="4"/>
  <c r="L350" i="4"/>
  <c r="K350" i="4"/>
  <c r="P349" i="4"/>
  <c r="L349" i="4"/>
  <c r="K349" i="4"/>
  <c r="P348" i="4"/>
  <c r="L348" i="4"/>
  <c r="K348" i="4"/>
  <c r="P347" i="4"/>
  <c r="L347" i="4"/>
  <c r="K347" i="4"/>
  <c r="P346" i="4"/>
  <c r="L346" i="4"/>
  <c r="K346" i="4"/>
  <c r="P345" i="4"/>
  <c r="L345" i="4"/>
  <c r="K345" i="4"/>
  <c r="P344" i="4"/>
  <c r="L344" i="4"/>
  <c r="K344" i="4"/>
  <c r="P343" i="4"/>
  <c r="L343" i="4"/>
  <c r="K343" i="4"/>
  <c r="P342" i="4"/>
  <c r="L342" i="4"/>
  <c r="K342" i="4"/>
  <c r="P341" i="4"/>
  <c r="L341" i="4"/>
  <c r="K341" i="4"/>
  <c r="P340" i="4"/>
  <c r="L340" i="4"/>
  <c r="K340" i="4"/>
  <c r="P339" i="4"/>
  <c r="L339" i="4"/>
  <c r="K339" i="4"/>
  <c r="P338" i="4"/>
  <c r="L338" i="4"/>
  <c r="K338" i="4"/>
  <c r="P337" i="4"/>
  <c r="L337" i="4"/>
  <c r="K337" i="4"/>
  <c r="P336" i="4"/>
  <c r="L336" i="4"/>
  <c r="K336" i="4"/>
  <c r="P335" i="4"/>
  <c r="L335" i="4"/>
  <c r="K335" i="4"/>
  <c r="P334" i="4"/>
  <c r="L334" i="4"/>
  <c r="K334" i="4"/>
  <c r="P333" i="4"/>
  <c r="L333" i="4"/>
  <c r="K333" i="4"/>
  <c r="P332" i="4"/>
  <c r="L332" i="4"/>
  <c r="K332" i="4"/>
  <c r="P331" i="4"/>
  <c r="L331" i="4"/>
  <c r="K331" i="4"/>
  <c r="P330" i="4"/>
  <c r="L330" i="4"/>
  <c r="K330" i="4"/>
  <c r="P329" i="4"/>
  <c r="L329" i="4"/>
  <c r="K329" i="4"/>
  <c r="P328" i="4"/>
  <c r="L328" i="4"/>
  <c r="K328" i="4"/>
  <c r="P327" i="4"/>
  <c r="L327" i="4"/>
  <c r="K327" i="4"/>
  <c r="P326" i="4"/>
  <c r="L326" i="4"/>
  <c r="K326" i="4"/>
  <c r="P325" i="4"/>
  <c r="L325" i="4"/>
  <c r="K325" i="4"/>
  <c r="P324" i="4"/>
  <c r="L324" i="4"/>
  <c r="K324" i="4"/>
  <c r="P323" i="4"/>
  <c r="L323" i="4"/>
  <c r="K323" i="4"/>
  <c r="P322" i="4"/>
  <c r="L322" i="4"/>
  <c r="K322" i="4"/>
  <c r="P321" i="4"/>
  <c r="L321" i="4"/>
  <c r="K321" i="4"/>
  <c r="P320" i="4"/>
  <c r="L320" i="4"/>
  <c r="K320" i="4"/>
  <c r="P319" i="4"/>
  <c r="L319" i="4"/>
  <c r="K319" i="4"/>
  <c r="P318" i="4"/>
  <c r="L318" i="4"/>
  <c r="K318" i="4"/>
  <c r="P317" i="4"/>
  <c r="L317" i="4"/>
  <c r="K317" i="4"/>
  <c r="P316" i="4"/>
  <c r="L316" i="4"/>
  <c r="K316" i="4"/>
  <c r="P315" i="4"/>
  <c r="L315" i="4"/>
  <c r="K315" i="4"/>
  <c r="P314" i="4"/>
  <c r="L314" i="4"/>
  <c r="K314" i="4"/>
  <c r="P313" i="4"/>
  <c r="L313" i="4"/>
  <c r="K313" i="4"/>
  <c r="P312" i="4"/>
  <c r="L312" i="4"/>
  <c r="K312" i="4"/>
  <c r="P311" i="4"/>
  <c r="L311" i="4"/>
  <c r="K311" i="4"/>
  <c r="P310" i="4"/>
  <c r="L310" i="4"/>
  <c r="K310" i="4"/>
  <c r="P309" i="4"/>
  <c r="L309" i="4"/>
  <c r="K309" i="4"/>
  <c r="P308" i="4"/>
  <c r="L308" i="4"/>
  <c r="K308" i="4"/>
  <c r="P307" i="4"/>
  <c r="L307" i="4"/>
  <c r="K307" i="4"/>
  <c r="P306" i="4"/>
  <c r="L306" i="4"/>
  <c r="K306" i="4"/>
  <c r="P305" i="4"/>
  <c r="L305" i="4"/>
  <c r="K305" i="4"/>
  <c r="P304" i="4"/>
  <c r="L304" i="4"/>
  <c r="K304" i="4"/>
  <c r="P303" i="4"/>
  <c r="L303" i="4"/>
  <c r="K303" i="4"/>
  <c r="P302" i="4"/>
  <c r="L302" i="4"/>
  <c r="K302" i="4"/>
  <c r="P301" i="4"/>
  <c r="L301" i="4"/>
  <c r="K301" i="4"/>
  <c r="P300" i="4"/>
  <c r="L300" i="4"/>
  <c r="K300" i="4"/>
  <c r="P299" i="4"/>
  <c r="L299" i="4"/>
  <c r="K299" i="4"/>
  <c r="P298" i="4"/>
  <c r="L298" i="4"/>
  <c r="K298" i="4"/>
  <c r="P297" i="4"/>
  <c r="L297" i="4"/>
  <c r="K297" i="4"/>
  <c r="P296" i="4"/>
  <c r="L296" i="4"/>
  <c r="K296" i="4"/>
  <c r="P295" i="4"/>
  <c r="L295" i="4"/>
  <c r="K295" i="4"/>
  <c r="P294" i="4"/>
  <c r="L294" i="4"/>
  <c r="K294" i="4"/>
  <c r="P293" i="4"/>
  <c r="L293" i="4"/>
  <c r="K293" i="4"/>
  <c r="P292" i="4"/>
  <c r="L292" i="4"/>
  <c r="K292" i="4"/>
  <c r="P291" i="4"/>
  <c r="L291" i="4"/>
  <c r="K291" i="4"/>
  <c r="P290" i="4"/>
  <c r="L290" i="4"/>
  <c r="K290" i="4"/>
  <c r="P289" i="4"/>
  <c r="L289" i="4"/>
  <c r="K289" i="4"/>
  <c r="E289" i="4"/>
  <c r="P288" i="4"/>
  <c r="L288" i="4"/>
  <c r="K288" i="4"/>
  <c r="E288" i="4"/>
  <c r="P287" i="4"/>
  <c r="L287" i="4"/>
  <c r="K287" i="4"/>
  <c r="E287" i="4"/>
  <c r="P286" i="4"/>
  <c r="L286" i="4"/>
  <c r="K286" i="4"/>
  <c r="E286" i="4"/>
  <c r="P285" i="4"/>
  <c r="L285" i="4"/>
  <c r="K285" i="4"/>
  <c r="E285" i="4"/>
  <c r="P284" i="4"/>
  <c r="L284" i="4"/>
  <c r="K284" i="4"/>
  <c r="E284" i="4"/>
  <c r="P283" i="4"/>
  <c r="L283" i="4"/>
  <c r="K283" i="4"/>
  <c r="E283" i="4"/>
  <c r="P282" i="4"/>
  <c r="L282" i="4"/>
  <c r="K282" i="4"/>
  <c r="E282" i="4"/>
  <c r="P281" i="4"/>
  <c r="L281" i="4"/>
  <c r="K281" i="4"/>
  <c r="E281" i="4"/>
  <c r="P280" i="4"/>
  <c r="L280" i="4"/>
  <c r="K280" i="4"/>
  <c r="E280" i="4"/>
  <c r="P279" i="4"/>
  <c r="L279" i="4"/>
  <c r="K279" i="4"/>
  <c r="E279" i="4"/>
  <c r="P278" i="4"/>
  <c r="L278" i="4"/>
  <c r="K278" i="4"/>
  <c r="E278" i="4"/>
  <c r="P277" i="4"/>
  <c r="L277" i="4"/>
  <c r="K277" i="4"/>
  <c r="E277" i="4"/>
  <c r="P276" i="4"/>
  <c r="L276" i="4"/>
  <c r="K276" i="4"/>
  <c r="E276" i="4"/>
  <c r="P275" i="4"/>
  <c r="L275" i="4"/>
  <c r="K275" i="4"/>
  <c r="E275" i="4"/>
  <c r="P274" i="4"/>
  <c r="L274" i="4"/>
  <c r="K274" i="4"/>
  <c r="E274" i="4"/>
  <c r="P273" i="4"/>
  <c r="L273" i="4"/>
  <c r="K273" i="4"/>
  <c r="E273" i="4"/>
  <c r="P272" i="4"/>
  <c r="L272" i="4"/>
  <c r="K272" i="4"/>
  <c r="E272" i="4"/>
  <c r="P271" i="4"/>
  <c r="L271" i="4"/>
  <c r="K271" i="4"/>
  <c r="E271" i="4"/>
  <c r="P270" i="4"/>
  <c r="L270" i="4"/>
  <c r="K270" i="4"/>
  <c r="E270" i="4"/>
  <c r="P269" i="4"/>
  <c r="L269" i="4"/>
  <c r="K269" i="4"/>
  <c r="E269" i="4"/>
  <c r="P268" i="4"/>
  <c r="L268" i="4"/>
  <c r="K268" i="4"/>
  <c r="E268" i="4"/>
  <c r="P267" i="4"/>
  <c r="L267" i="4"/>
  <c r="K267" i="4"/>
  <c r="E267" i="4"/>
  <c r="P266" i="4"/>
  <c r="L266" i="4"/>
  <c r="K266" i="4"/>
  <c r="E266" i="4"/>
  <c r="P265" i="4"/>
  <c r="L265" i="4"/>
  <c r="K265" i="4"/>
  <c r="E265" i="4"/>
  <c r="P264" i="4"/>
  <c r="L264" i="4"/>
  <c r="K264" i="4"/>
  <c r="E264" i="4"/>
  <c r="P263" i="4"/>
  <c r="L263" i="4"/>
  <c r="K263" i="4"/>
  <c r="E263" i="4"/>
  <c r="P262" i="4"/>
  <c r="L262" i="4"/>
  <c r="K262" i="4"/>
  <c r="E262" i="4"/>
  <c r="P261" i="4"/>
  <c r="L261" i="4"/>
  <c r="K261" i="4"/>
  <c r="E261" i="4"/>
  <c r="P260" i="4"/>
  <c r="L260" i="4"/>
  <c r="K260" i="4"/>
  <c r="E260" i="4"/>
  <c r="P259" i="4"/>
  <c r="L259" i="4"/>
  <c r="K259" i="4"/>
  <c r="E259" i="4"/>
  <c r="P258" i="4"/>
  <c r="L258" i="4"/>
  <c r="K258" i="4"/>
  <c r="E258" i="4"/>
  <c r="P257" i="4"/>
  <c r="L257" i="4"/>
  <c r="K257" i="4"/>
  <c r="E257" i="4"/>
  <c r="P256" i="4"/>
  <c r="L256" i="4"/>
  <c r="K256" i="4"/>
  <c r="E256" i="4"/>
  <c r="P255" i="4"/>
  <c r="L255" i="4"/>
  <c r="K255" i="4"/>
  <c r="E255" i="4"/>
  <c r="P254" i="4"/>
  <c r="L254" i="4"/>
  <c r="K254" i="4"/>
  <c r="E254" i="4"/>
  <c r="P253" i="4"/>
  <c r="L253" i="4"/>
  <c r="K253" i="4"/>
  <c r="E253" i="4"/>
  <c r="P252" i="4"/>
  <c r="L252" i="4"/>
  <c r="K252" i="4"/>
  <c r="E252" i="4"/>
  <c r="P251" i="4"/>
  <c r="L251" i="4"/>
  <c r="K251" i="4"/>
  <c r="E251" i="4"/>
  <c r="P250" i="4"/>
  <c r="L250" i="4"/>
  <c r="K250" i="4"/>
  <c r="E250" i="4"/>
  <c r="P249" i="4"/>
  <c r="L249" i="4"/>
  <c r="K249" i="4"/>
  <c r="E249" i="4"/>
  <c r="P248" i="4"/>
  <c r="L248" i="4"/>
  <c r="K248" i="4"/>
  <c r="E248" i="4"/>
  <c r="P247" i="4"/>
  <c r="L247" i="4"/>
  <c r="K247" i="4"/>
  <c r="E247" i="4"/>
  <c r="P246" i="4"/>
  <c r="L246" i="4"/>
  <c r="K246" i="4"/>
  <c r="E246" i="4"/>
  <c r="P245" i="4"/>
  <c r="L245" i="4"/>
  <c r="K245" i="4"/>
  <c r="E245" i="4"/>
  <c r="P244" i="4"/>
  <c r="L244" i="4"/>
  <c r="K244" i="4"/>
  <c r="E244" i="4"/>
  <c r="P243" i="4"/>
  <c r="L243" i="4"/>
  <c r="K243" i="4"/>
  <c r="E243" i="4"/>
  <c r="P242" i="4"/>
  <c r="L242" i="4"/>
  <c r="K242" i="4"/>
  <c r="E242" i="4"/>
  <c r="P241" i="4"/>
  <c r="L241" i="4"/>
  <c r="K241" i="4"/>
  <c r="E241" i="4"/>
  <c r="P240" i="4"/>
  <c r="L240" i="4"/>
  <c r="K240" i="4"/>
  <c r="E240" i="4"/>
  <c r="P239" i="4"/>
  <c r="L239" i="4"/>
  <c r="K239" i="4"/>
  <c r="E239" i="4"/>
  <c r="P238" i="4"/>
  <c r="L238" i="4"/>
  <c r="K238" i="4"/>
  <c r="E238" i="4"/>
  <c r="P237" i="4"/>
  <c r="L237" i="4"/>
  <c r="K237" i="4"/>
  <c r="E237" i="4"/>
  <c r="P236" i="4"/>
  <c r="L236" i="4"/>
  <c r="K236" i="4"/>
  <c r="E236" i="4"/>
  <c r="P235" i="4"/>
  <c r="L235" i="4"/>
  <c r="K235" i="4"/>
  <c r="E235" i="4"/>
  <c r="P234" i="4"/>
  <c r="L234" i="4"/>
  <c r="K234" i="4"/>
  <c r="E234" i="4"/>
  <c r="P233" i="4"/>
  <c r="L233" i="4"/>
  <c r="K233" i="4"/>
  <c r="E233" i="4"/>
  <c r="P232" i="4"/>
  <c r="L232" i="4"/>
  <c r="K232" i="4"/>
  <c r="E232" i="4"/>
  <c r="P231" i="4"/>
  <c r="L231" i="4"/>
  <c r="K231" i="4"/>
  <c r="E231" i="4"/>
  <c r="P230" i="4"/>
  <c r="L230" i="4"/>
  <c r="K230" i="4"/>
  <c r="E230" i="4"/>
  <c r="P229" i="4"/>
  <c r="L229" i="4"/>
  <c r="K229" i="4"/>
  <c r="E229" i="4"/>
  <c r="P228" i="4"/>
  <c r="L228" i="4"/>
  <c r="K228" i="4"/>
  <c r="E228" i="4"/>
  <c r="P227" i="4"/>
  <c r="L227" i="4"/>
  <c r="K227" i="4"/>
  <c r="E227" i="4"/>
  <c r="P226" i="4"/>
  <c r="L226" i="4"/>
  <c r="K226" i="4"/>
  <c r="E226" i="4"/>
  <c r="P225" i="4"/>
  <c r="L225" i="4"/>
  <c r="K225" i="4"/>
  <c r="E225" i="4"/>
  <c r="P224" i="4"/>
  <c r="L224" i="4"/>
  <c r="K224" i="4"/>
  <c r="E224" i="4"/>
  <c r="P223" i="4"/>
  <c r="L223" i="4"/>
  <c r="K223" i="4"/>
  <c r="E223" i="4"/>
  <c r="P222" i="4"/>
  <c r="L222" i="4"/>
  <c r="K222" i="4"/>
  <c r="E222" i="4"/>
  <c r="P221" i="4"/>
  <c r="L221" i="4"/>
  <c r="K221" i="4"/>
  <c r="E221" i="4"/>
  <c r="P220" i="4"/>
  <c r="L220" i="4"/>
  <c r="K220" i="4"/>
  <c r="E220" i="4"/>
  <c r="P219" i="4"/>
  <c r="L219" i="4"/>
  <c r="K219" i="4"/>
  <c r="E219" i="4"/>
  <c r="P218" i="4"/>
  <c r="L218" i="4"/>
  <c r="K218" i="4"/>
  <c r="E218" i="4"/>
  <c r="P217" i="4"/>
  <c r="L217" i="4"/>
  <c r="K217" i="4"/>
  <c r="E217" i="4"/>
  <c r="P216" i="4"/>
  <c r="L216" i="4"/>
  <c r="K216" i="4"/>
  <c r="E216" i="4"/>
  <c r="P215" i="4"/>
  <c r="L215" i="4"/>
  <c r="K215" i="4"/>
  <c r="E215" i="4"/>
  <c r="P214" i="4"/>
  <c r="L214" i="4"/>
  <c r="K214" i="4"/>
  <c r="E214" i="4"/>
  <c r="P213" i="4"/>
  <c r="L213" i="4"/>
  <c r="K213" i="4"/>
  <c r="E213" i="4"/>
  <c r="P212" i="4"/>
  <c r="L212" i="4"/>
  <c r="K212" i="4"/>
  <c r="E212" i="4"/>
  <c r="P211" i="4"/>
  <c r="L211" i="4"/>
  <c r="K211" i="4"/>
  <c r="E211" i="4"/>
  <c r="P210" i="4"/>
  <c r="L210" i="4"/>
  <c r="K210" i="4"/>
  <c r="E210" i="4"/>
  <c r="P209" i="4"/>
  <c r="L209" i="4"/>
  <c r="K209" i="4"/>
  <c r="E209" i="4"/>
  <c r="P208" i="4"/>
  <c r="L208" i="4"/>
  <c r="K208" i="4"/>
  <c r="E208" i="4"/>
  <c r="P207" i="4"/>
  <c r="L207" i="4"/>
  <c r="K207" i="4"/>
  <c r="E207" i="4"/>
  <c r="P206" i="4"/>
  <c r="L206" i="4"/>
  <c r="K206" i="4"/>
  <c r="E206" i="4"/>
  <c r="P205" i="4"/>
  <c r="L205" i="4"/>
  <c r="K205" i="4"/>
  <c r="E205" i="4"/>
  <c r="P204" i="4"/>
  <c r="L204" i="4"/>
  <c r="K204" i="4"/>
  <c r="E204" i="4"/>
  <c r="P203" i="4"/>
  <c r="L203" i="4"/>
  <c r="K203" i="4"/>
  <c r="E203" i="4"/>
  <c r="P202" i="4"/>
  <c r="L202" i="4"/>
  <c r="K202" i="4"/>
  <c r="E202" i="4"/>
  <c r="P201" i="4"/>
  <c r="L201" i="4"/>
  <c r="K201" i="4"/>
  <c r="E201" i="4"/>
  <c r="P200" i="4"/>
  <c r="L200" i="4"/>
  <c r="K200" i="4"/>
  <c r="E200" i="4"/>
  <c r="P199" i="4"/>
  <c r="L199" i="4"/>
  <c r="K199" i="4"/>
  <c r="E199" i="4"/>
  <c r="P198" i="4"/>
  <c r="L198" i="4"/>
  <c r="K198" i="4"/>
  <c r="E198" i="4"/>
  <c r="P197" i="4"/>
  <c r="L197" i="4"/>
  <c r="K197" i="4"/>
  <c r="E197" i="4"/>
  <c r="P196" i="4"/>
  <c r="L196" i="4"/>
  <c r="K196" i="4"/>
  <c r="E196" i="4"/>
  <c r="P195" i="4"/>
  <c r="L195" i="4"/>
  <c r="K195" i="4"/>
  <c r="E195" i="4"/>
  <c r="P194" i="4"/>
  <c r="L194" i="4"/>
  <c r="K194" i="4"/>
  <c r="E194" i="4"/>
  <c r="P193" i="4"/>
  <c r="L193" i="4"/>
  <c r="K193" i="4"/>
  <c r="E193" i="4"/>
  <c r="P192" i="4"/>
  <c r="L192" i="4"/>
  <c r="K192" i="4"/>
  <c r="E192" i="4"/>
  <c r="P191" i="4"/>
  <c r="L191" i="4"/>
  <c r="K191" i="4"/>
  <c r="E191" i="4"/>
  <c r="P190" i="4"/>
  <c r="L190" i="4"/>
  <c r="K190" i="4"/>
  <c r="E190" i="4"/>
  <c r="P189" i="4"/>
  <c r="L189" i="4"/>
  <c r="K189" i="4"/>
  <c r="E189" i="4"/>
  <c r="P188" i="4"/>
  <c r="L188" i="4"/>
  <c r="K188" i="4"/>
  <c r="E188" i="4"/>
  <c r="P187" i="4"/>
  <c r="L187" i="4"/>
  <c r="K187" i="4"/>
  <c r="E187" i="4"/>
  <c r="P186" i="4"/>
  <c r="L186" i="4"/>
  <c r="K186" i="4"/>
  <c r="E186" i="4"/>
  <c r="P185" i="4"/>
  <c r="L185" i="4"/>
  <c r="K185" i="4"/>
  <c r="E185" i="4"/>
  <c r="P184" i="4"/>
  <c r="L184" i="4"/>
  <c r="K184" i="4"/>
  <c r="E184" i="4"/>
  <c r="P183" i="4"/>
  <c r="L183" i="4"/>
  <c r="K183" i="4"/>
  <c r="E183" i="4"/>
  <c r="P182" i="4"/>
  <c r="L182" i="4"/>
  <c r="K182" i="4"/>
  <c r="E182" i="4"/>
  <c r="P181" i="4"/>
  <c r="L181" i="4"/>
  <c r="K181" i="4"/>
  <c r="E181" i="4"/>
  <c r="P180" i="4"/>
  <c r="L180" i="4"/>
  <c r="K180" i="4"/>
  <c r="E180" i="4"/>
  <c r="P179" i="4"/>
  <c r="L179" i="4"/>
  <c r="K179" i="4"/>
  <c r="E179" i="4"/>
  <c r="P178" i="4"/>
  <c r="L178" i="4"/>
  <c r="K178" i="4"/>
  <c r="E178" i="4"/>
  <c r="P177" i="4"/>
  <c r="L177" i="4"/>
  <c r="K177" i="4"/>
  <c r="E177" i="4"/>
  <c r="P176" i="4"/>
  <c r="L176" i="4"/>
  <c r="K176" i="4"/>
  <c r="E176" i="4"/>
  <c r="P175" i="4"/>
  <c r="L175" i="4"/>
  <c r="K175" i="4"/>
  <c r="E175" i="4"/>
  <c r="P174" i="4"/>
  <c r="L174" i="4"/>
  <c r="K174" i="4"/>
  <c r="E174" i="4"/>
  <c r="P173" i="4"/>
  <c r="L173" i="4"/>
  <c r="K173" i="4"/>
  <c r="E173" i="4"/>
  <c r="P172" i="4"/>
  <c r="L172" i="4"/>
  <c r="K172" i="4"/>
  <c r="E172" i="4"/>
  <c r="P171" i="4"/>
  <c r="L171" i="4"/>
  <c r="K171" i="4"/>
  <c r="E171" i="4"/>
  <c r="P170" i="4"/>
  <c r="L170" i="4"/>
  <c r="K170" i="4"/>
  <c r="E170" i="4"/>
  <c r="P169" i="4"/>
  <c r="L169" i="4"/>
  <c r="K169" i="4"/>
  <c r="E169" i="4"/>
  <c r="P168" i="4"/>
  <c r="L168" i="4"/>
  <c r="K168" i="4"/>
  <c r="E168" i="4"/>
  <c r="P167" i="4"/>
  <c r="L167" i="4"/>
  <c r="K167" i="4"/>
  <c r="E167" i="4"/>
  <c r="P166" i="4"/>
  <c r="L166" i="4"/>
  <c r="K166" i="4"/>
  <c r="E166" i="4"/>
  <c r="P165" i="4"/>
  <c r="L165" i="4"/>
  <c r="K165" i="4"/>
  <c r="E165" i="4"/>
  <c r="P164" i="4"/>
  <c r="L164" i="4"/>
  <c r="K164" i="4"/>
  <c r="E164" i="4"/>
  <c r="P163" i="4"/>
  <c r="L163" i="4"/>
  <c r="K163" i="4"/>
  <c r="E163" i="4"/>
  <c r="P162" i="4"/>
  <c r="L162" i="4"/>
  <c r="K162" i="4"/>
  <c r="E162" i="4"/>
  <c r="P161" i="4"/>
  <c r="L161" i="4"/>
  <c r="K161" i="4"/>
  <c r="E161" i="4"/>
  <c r="P160" i="4"/>
  <c r="L160" i="4"/>
  <c r="K160" i="4"/>
  <c r="E160" i="4"/>
  <c r="P159" i="4"/>
  <c r="L159" i="4"/>
  <c r="K159" i="4"/>
  <c r="E159" i="4"/>
  <c r="P158" i="4"/>
  <c r="L158" i="4"/>
  <c r="K158" i="4"/>
  <c r="E158" i="4"/>
  <c r="P157" i="4"/>
  <c r="L157" i="4"/>
  <c r="K157" i="4"/>
  <c r="E157" i="4"/>
  <c r="P156" i="4"/>
  <c r="L156" i="4"/>
  <c r="K156" i="4"/>
  <c r="E156" i="4"/>
  <c r="P155" i="4"/>
  <c r="L155" i="4"/>
  <c r="K155" i="4"/>
  <c r="E155" i="4"/>
  <c r="P154" i="4"/>
  <c r="L154" i="4"/>
  <c r="K154" i="4"/>
  <c r="E154" i="4"/>
  <c r="P153" i="4"/>
  <c r="L153" i="4"/>
  <c r="K153" i="4"/>
  <c r="E153" i="4"/>
  <c r="P152" i="4"/>
  <c r="L152" i="4"/>
  <c r="K152" i="4"/>
  <c r="E152" i="4"/>
  <c r="P151" i="4"/>
  <c r="L151" i="4"/>
  <c r="K151" i="4"/>
  <c r="E151" i="4"/>
  <c r="P150" i="4"/>
  <c r="L150" i="4"/>
  <c r="K150" i="4"/>
  <c r="E150" i="4"/>
  <c r="P149" i="4"/>
  <c r="L149" i="4"/>
  <c r="K149" i="4"/>
  <c r="E149" i="4"/>
  <c r="P148" i="4"/>
  <c r="L148" i="4"/>
  <c r="K148" i="4"/>
  <c r="E148" i="4"/>
  <c r="P147" i="4"/>
  <c r="L147" i="4"/>
  <c r="K147" i="4"/>
  <c r="E147" i="4"/>
  <c r="P146" i="4"/>
  <c r="L146" i="4"/>
  <c r="K146" i="4"/>
  <c r="E146" i="4"/>
  <c r="P145" i="4"/>
  <c r="L145" i="4"/>
  <c r="K145" i="4"/>
  <c r="E145" i="4"/>
  <c r="P144" i="4"/>
  <c r="L144" i="4"/>
  <c r="K144" i="4"/>
  <c r="E144" i="4"/>
  <c r="P143" i="4"/>
  <c r="L143" i="4"/>
  <c r="K143" i="4"/>
  <c r="E143" i="4"/>
  <c r="P142" i="4"/>
  <c r="L142" i="4"/>
  <c r="K142" i="4"/>
  <c r="E142" i="4"/>
  <c r="P141" i="4"/>
  <c r="L141" i="4"/>
  <c r="K141" i="4"/>
  <c r="E141" i="4"/>
  <c r="P140" i="4"/>
  <c r="L140" i="4"/>
  <c r="K140" i="4"/>
  <c r="E140" i="4"/>
  <c r="P139" i="4"/>
  <c r="L139" i="4"/>
  <c r="K139" i="4"/>
  <c r="E139" i="4"/>
  <c r="P138" i="4"/>
  <c r="L138" i="4"/>
  <c r="K138" i="4"/>
  <c r="E138" i="4"/>
  <c r="P137" i="4"/>
  <c r="L137" i="4"/>
  <c r="K137" i="4"/>
  <c r="E137" i="4"/>
  <c r="P136" i="4"/>
  <c r="L136" i="4"/>
  <c r="K136" i="4"/>
  <c r="E136" i="4"/>
  <c r="P135" i="4"/>
  <c r="L135" i="4"/>
  <c r="K135" i="4"/>
  <c r="E135" i="4"/>
  <c r="P134" i="4"/>
  <c r="L134" i="4"/>
  <c r="K134" i="4"/>
  <c r="E134" i="4"/>
  <c r="P133" i="4"/>
  <c r="L133" i="4"/>
  <c r="K133" i="4"/>
  <c r="E133" i="4"/>
  <c r="P132" i="4"/>
  <c r="L132" i="4"/>
  <c r="K132" i="4"/>
  <c r="E132" i="4"/>
  <c r="P131" i="4"/>
  <c r="L131" i="4"/>
  <c r="K131" i="4"/>
  <c r="E131" i="4"/>
  <c r="P130" i="4"/>
  <c r="L130" i="4"/>
  <c r="K130" i="4"/>
  <c r="E130" i="4"/>
  <c r="P129" i="4"/>
  <c r="L129" i="4"/>
  <c r="K129" i="4"/>
  <c r="E129" i="4"/>
  <c r="P128" i="4"/>
  <c r="L128" i="4"/>
  <c r="K128" i="4"/>
  <c r="E128" i="4"/>
  <c r="P127" i="4"/>
  <c r="L127" i="4"/>
  <c r="K127" i="4"/>
  <c r="E127" i="4"/>
  <c r="P126" i="4"/>
  <c r="L126" i="4"/>
  <c r="K126" i="4"/>
  <c r="E126" i="4"/>
  <c r="P125" i="4"/>
  <c r="L125" i="4"/>
  <c r="K125" i="4"/>
  <c r="E125" i="4"/>
  <c r="P124" i="4"/>
  <c r="L124" i="4"/>
  <c r="K124" i="4"/>
  <c r="E124" i="4"/>
  <c r="P123" i="4"/>
  <c r="L123" i="4"/>
  <c r="K123" i="4"/>
  <c r="E123" i="4"/>
  <c r="P122" i="4"/>
  <c r="L122" i="4"/>
  <c r="K122" i="4"/>
  <c r="E122" i="4"/>
  <c r="P121" i="4"/>
  <c r="L121" i="4"/>
  <c r="K121" i="4"/>
  <c r="E121" i="4"/>
  <c r="P120" i="4"/>
  <c r="L120" i="4"/>
  <c r="K120" i="4"/>
  <c r="E120" i="4"/>
  <c r="P119" i="4"/>
  <c r="L119" i="4"/>
  <c r="K119" i="4"/>
  <c r="E119" i="4"/>
  <c r="P118" i="4"/>
  <c r="L118" i="4"/>
  <c r="K118" i="4"/>
  <c r="E118" i="4"/>
  <c r="P117" i="4"/>
  <c r="L117" i="4"/>
  <c r="K117" i="4"/>
  <c r="E117" i="4"/>
  <c r="P116" i="4"/>
  <c r="L116" i="4"/>
  <c r="K116" i="4"/>
  <c r="E116" i="4"/>
  <c r="P115" i="4"/>
  <c r="L115" i="4"/>
  <c r="K115" i="4"/>
  <c r="E115" i="4"/>
  <c r="P114" i="4"/>
  <c r="L114" i="4"/>
  <c r="K114" i="4"/>
  <c r="E114" i="4"/>
  <c r="P113" i="4"/>
  <c r="L113" i="4"/>
  <c r="K113" i="4"/>
  <c r="E113" i="4"/>
  <c r="P112" i="4"/>
  <c r="L112" i="4"/>
  <c r="K112" i="4"/>
  <c r="E112" i="4"/>
  <c r="P111" i="4"/>
  <c r="L111" i="4"/>
  <c r="K111" i="4"/>
  <c r="E111" i="4"/>
  <c r="P110" i="4"/>
  <c r="L110" i="4"/>
  <c r="K110" i="4"/>
  <c r="E110" i="4"/>
  <c r="P109" i="4"/>
  <c r="L109" i="4"/>
  <c r="K109" i="4"/>
  <c r="E109" i="4"/>
  <c r="P108" i="4"/>
  <c r="L108" i="4"/>
  <c r="K108" i="4"/>
  <c r="E108" i="4"/>
  <c r="P107" i="4"/>
  <c r="L107" i="4"/>
  <c r="K107" i="4"/>
  <c r="E107" i="4"/>
  <c r="P106" i="4"/>
  <c r="L106" i="4"/>
  <c r="K106" i="4"/>
  <c r="E106" i="4"/>
  <c r="P105" i="4"/>
  <c r="L105" i="4"/>
  <c r="K105" i="4"/>
  <c r="E105" i="4"/>
  <c r="P104" i="4"/>
  <c r="L104" i="4"/>
  <c r="K104" i="4"/>
  <c r="E104" i="4"/>
  <c r="P103" i="4"/>
  <c r="L103" i="4"/>
  <c r="K103" i="4"/>
  <c r="E103" i="4"/>
  <c r="P102" i="4"/>
  <c r="L102" i="4"/>
  <c r="K102" i="4"/>
  <c r="E102" i="4"/>
  <c r="P101" i="4"/>
  <c r="L101" i="4"/>
  <c r="K101" i="4"/>
  <c r="E101" i="4"/>
  <c r="P100" i="4"/>
  <c r="L100" i="4"/>
  <c r="K100" i="4"/>
  <c r="E100" i="4"/>
  <c r="P99" i="4"/>
  <c r="L99" i="4"/>
  <c r="K99" i="4"/>
  <c r="E99" i="4"/>
  <c r="P98" i="4"/>
  <c r="L98" i="4"/>
  <c r="K98" i="4"/>
  <c r="E98" i="4"/>
  <c r="P97" i="4"/>
  <c r="L97" i="4"/>
  <c r="K97" i="4"/>
  <c r="E97" i="4"/>
  <c r="P96" i="4"/>
  <c r="L96" i="4"/>
  <c r="K96" i="4"/>
  <c r="E96" i="4"/>
  <c r="P95" i="4"/>
  <c r="L95" i="4"/>
  <c r="K95" i="4"/>
  <c r="E95" i="4"/>
  <c r="P94" i="4"/>
  <c r="L94" i="4"/>
  <c r="K94" i="4"/>
  <c r="E94" i="4"/>
  <c r="P93" i="4"/>
  <c r="L93" i="4"/>
  <c r="K93" i="4"/>
  <c r="E93" i="4"/>
  <c r="P92" i="4"/>
  <c r="L92" i="4"/>
  <c r="K92" i="4"/>
  <c r="E92" i="4"/>
  <c r="P91" i="4"/>
  <c r="L91" i="4"/>
  <c r="K91" i="4"/>
  <c r="E91" i="4"/>
  <c r="P90" i="4"/>
  <c r="L90" i="4"/>
  <c r="K90" i="4"/>
  <c r="E90" i="4"/>
  <c r="P89" i="4"/>
  <c r="L89" i="4"/>
  <c r="K89" i="4"/>
  <c r="E89" i="4"/>
  <c r="P88" i="4"/>
  <c r="L88" i="4"/>
  <c r="K88" i="4"/>
  <c r="E88" i="4"/>
  <c r="P87" i="4"/>
  <c r="L87" i="4"/>
  <c r="K87" i="4"/>
  <c r="E87" i="4"/>
  <c r="P86" i="4"/>
  <c r="L86" i="4"/>
  <c r="K86" i="4"/>
  <c r="E86" i="4"/>
  <c r="P85" i="4"/>
  <c r="L85" i="4"/>
  <c r="K85" i="4"/>
  <c r="E85" i="4"/>
  <c r="P84" i="4"/>
  <c r="L84" i="4"/>
  <c r="K84" i="4"/>
  <c r="E84" i="4"/>
  <c r="P83" i="4"/>
  <c r="L83" i="4"/>
  <c r="K83" i="4"/>
  <c r="E83" i="4"/>
  <c r="P82" i="4"/>
  <c r="L82" i="4"/>
  <c r="K82" i="4"/>
  <c r="E82" i="4"/>
  <c r="P81" i="4"/>
  <c r="L81" i="4"/>
  <c r="K81" i="4"/>
  <c r="E81" i="4"/>
  <c r="P80" i="4"/>
  <c r="L80" i="4"/>
  <c r="K80" i="4"/>
  <c r="E80" i="4"/>
  <c r="P79" i="4"/>
  <c r="L79" i="4"/>
  <c r="K79" i="4"/>
  <c r="E79" i="4"/>
  <c r="P78" i="4"/>
  <c r="L78" i="4"/>
  <c r="K78" i="4"/>
  <c r="E78" i="4"/>
  <c r="P77" i="4"/>
  <c r="L77" i="4"/>
  <c r="K77" i="4"/>
  <c r="E77" i="4"/>
  <c r="P76" i="4"/>
  <c r="L76" i="4"/>
  <c r="K76" i="4"/>
  <c r="E76" i="4"/>
  <c r="P75" i="4"/>
  <c r="L75" i="4"/>
  <c r="K75" i="4"/>
  <c r="E75" i="4"/>
  <c r="P74" i="4"/>
  <c r="L74" i="4"/>
  <c r="K74" i="4"/>
  <c r="E74" i="4"/>
  <c r="P73" i="4"/>
  <c r="L73" i="4"/>
  <c r="K73" i="4"/>
  <c r="E73" i="4"/>
  <c r="P72" i="4"/>
  <c r="L72" i="4"/>
  <c r="K72" i="4"/>
  <c r="E72" i="4"/>
  <c r="P71" i="4"/>
  <c r="L71" i="4"/>
  <c r="K71" i="4"/>
  <c r="E71" i="4"/>
  <c r="P70" i="4"/>
  <c r="L70" i="4"/>
  <c r="K70" i="4"/>
  <c r="E70" i="4"/>
  <c r="P69" i="4"/>
  <c r="L69" i="4"/>
  <c r="K69" i="4"/>
  <c r="E69" i="4"/>
  <c r="P68" i="4"/>
  <c r="L68" i="4"/>
  <c r="K68" i="4"/>
  <c r="E68" i="4"/>
  <c r="P67" i="4"/>
  <c r="L67" i="4"/>
  <c r="K67" i="4"/>
  <c r="E67" i="4"/>
  <c r="P66" i="4"/>
  <c r="L66" i="4"/>
  <c r="K66" i="4"/>
  <c r="E66" i="4"/>
  <c r="P65" i="4"/>
  <c r="L65" i="4"/>
  <c r="K65" i="4"/>
  <c r="E65" i="4"/>
  <c r="P64" i="4"/>
  <c r="L64" i="4"/>
  <c r="K64" i="4"/>
  <c r="E64" i="4"/>
  <c r="P63" i="4"/>
  <c r="L63" i="4"/>
  <c r="K63" i="4"/>
  <c r="E63" i="4"/>
  <c r="P62" i="4"/>
  <c r="L62" i="4"/>
  <c r="K62" i="4"/>
  <c r="E62" i="4"/>
  <c r="P61" i="4"/>
  <c r="L61" i="4"/>
  <c r="K61" i="4"/>
  <c r="E61" i="4"/>
  <c r="P60" i="4"/>
  <c r="L60" i="4"/>
  <c r="K60" i="4"/>
  <c r="E60" i="4"/>
  <c r="P59" i="4"/>
  <c r="L59" i="4"/>
  <c r="K59" i="4"/>
  <c r="E59" i="4"/>
  <c r="P58" i="4"/>
  <c r="L58" i="4"/>
  <c r="K58" i="4"/>
  <c r="E58" i="4"/>
  <c r="P57" i="4"/>
  <c r="L57" i="4"/>
  <c r="K57" i="4"/>
  <c r="E57" i="4"/>
  <c r="P56" i="4"/>
  <c r="L56" i="4"/>
  <c r="K56" i="4"/>
  <c r="E56" i="4"/>
  <c r="P55" i="4"/>
  <c r="L55" i="4"/>
  <c r="K55" i="4"/>
  <c r="E55" i="4"/>
  <c r="P54" i="4"/>
  <c r="L54" i="4"/>
  <c r="K54" i="4"/>
  <c r="E54" i="4"/>
  <c r="T53" i="4"/>
  <c r="U53" i="4" s="1"/>
  <c r="P53" i="4"/>
  <c r="L53" i="4"/>
  <c r="K53" i="4"/>
  <c r="E53" i="4"/>
  <c r="U52" i="4"/>
  <c r="T52" i="4"/>
  <c r="P52" i="4"/>
  <c r="L52" i="4"/>
  <c r="K52" i="4"/>
  <c r="E52" i="4"/>
  <c r="T51" i="4"/>
  <c r="U51" i="4" s="1"/>
  <c r="P51" i="4"/>
  <c r="L51" i="4"/>
  <c r="K51" i="4"/>
  <c r="E51" i="4"/>
  <c r="P50" i="4"/>
  <c r="L50" i="4"/>
  <c r="K50" i="4"/>
  <c r="E50" i="4"/>
  <c r="P49" i="4"/>
  <c r="L49" i="4"/>
  <c r="K49" i="4"/>
  <c r="E49" i="4"/>
  <c r="P48" i="4"/>
  <c r="L48" i="4"/>
  <c r="K48" i="4"/>
  <c r="E48" i="4"/>
  <c r="P47" i="4"/>
  <c r="L47" i="4"/>
  <c r="K47" i="4"/>
  <c r="E47" i="4"/>
  <c r="P46" i="4"/>
  <c r="L46" i="4"/>
  <c r="K46" i="4"/>
  <c r="E46" i="4"/>
  <c r="P45" i="4"/>
  <c r="L45" i="4"/>
  <c r="K45" i="4"/>
  <c r="E45" i="4"/>
  <c r="P44" i="4"/>
  <c r="L44" i="4"/>
  <c r="K44" i="4"/>
  <c r="E44" i="4"/>
  <c r="P43" i="4"/>
  <c r="L43" i="4"/>
  <c r="K43" i="4"/>
  <c r="E43" i="4"/>
  <c r="P42" i="4"/>
  <c r="L42" i="4"/>
  <c r="K42" i="4"/>
  <c r="E42" i="4"/>
  <c r="AN41" i="4"/>
  <c r="AC41" i="4"/>
  <c r="Y41" i="4"/>
  <c r="AK41" i="4" s="1"/>
  <c r="P41" i="4"/>
  <c r="L41" i="4"/>
  <c r="K41" i="4"/>
  <c r="E41" i="4"/>
  <c r="AN40" i="4"/>
  <c r="AC40" i="4"/>
  <c r="Y40" i="4"/>
  <c r="AK40" i="4" s="1"/>
  <c r="P40" i="4"/>
  <c r="L40" i="4"/>
  <c r="K40" i="4"/>
  <c r="E40" i="4"/>
  <c r="AN39" i="4"/>
  <c r="AC39" i="4"/>
  <c r="P39" i="4"/>
  <c r="L39" i="4"/>
  <c r="K39" i="4"/>
  <c r="E39" i="4"/>
  <c r="AN38" i="4"/>
  <c r="AC38" i="4"/>
  <c r="Y38" i="4"/>
  <c r="AK38" i="4" s="1"/>
  <c r="P38" i="4"/>
  <c r="L38" i="4"/>
  <c r="K38" i="4"/>
  <c r="E38" i="4"/>
  <c r="AN37" i="4"/>
  <c r="AC37" i="4"/>
  <c r="Y37" i="4"/>
  <c r="P37" i="4"/>
  <c r="L37" i="4"/>
  <c r="K37" i="4"/>
  <c r="E37" i="4"/>
  <c r="AN36" i="4"/>
  <c r="AK36" i="4"/>
  <c r="AC36" i="4"/>
  <c r="Y36" i="4"/>
  <c r="P36" i="4"/>
  <c r="L36" i="4"/>
  <c r="K36" i="4"/>
  <c r="E36" i="4"/>
  <c r="AN35" i="4"/>
  <c r="AK35" i="4"/>
  <c r="AG35" i="4"/>
  <c r="AC35" i="4"/>
  <c r="Y35" i="4"/>
  <c r="P35" i="4"/>
  <c r="L35" i="4"/>
  <c r="K35" i="4"/>
  <c r="E35" i="4"/>
  <c r="AN34" i="4"/>
  <c r="AC34" i="4"/>
  <c r="Y34" i="4"/>
  <c r="AK34" i="4" s="1"/>
  <c r="P34" i="4"/>
  <c r="L34" i="4"/>
  <c r="K34" i="4"/>
  <c r="E34" i="4"/>
  <c r="AN33" i="4"/>
  <c r="AC33" i="4"/>
  <c r="Y33" i="4"/>
  <c r="AK33" i="4" s="1"/>
  <c r="P33" i="4"/>
  <c r="L33" i="4"/>
  <c r="K33" i="4"/>
  <c r="E33" i="4"/>
  <c r="AN32" i="4"/>
  <c r="AC32" i="4"/>
  <c r="Y32" i="4"/>
  <c r="AK32" i="4" s="1"/>
  <c r="P32" i="4"/>
  <c r="L32" i="4"/>
  <c r="K32" i="4"/>
  <c r="E32" i="4"/>
  <c r="AN31" i="4"/>
  <c r="AG31" i="4"/>
  <c r="AC31" i="4"/>
  <c r="Y31" i="4"/>
  <c r="P31" i="4"/>
  <c r="L31" i="4"/>
  <c r="K31" i="4"/>
  <c r="E31" i="4"/>
  <c r="AN30" i="4"/>
  <c r="AG30" i="4"/>
  <c r="AC30" i="4"/>
  <c r="Y30" i="4"/>
  <c r="AK30" i="4" s="1"/>
  <c r="P30" i="4"/>
  <c r="L30" i="4"/>
  <c r="K30" i="4"/>
  <c r="E30" i="4"/>
  <c r="AN29" i="4"/>
  <c r="AC29" i="4"/>
  <c r="Y29" i="4"/>
  <c r="AK29" i="4" s="1"/>
  <c r="P29" i="4"/>
  <c r="L29" i="4"/>
  <c r="K29" i="4"/>
  <c r="E29" i="4"/>
  <c r="AN28" i="4"/>
  <c r="AK28" i="4"/>
  <c r="AC28" i="4"/>
  <c r="Y28" i="4"/>
  <c r="P28" i="4"/>
  <c r="L28" i="4"/>
  <c r="K28" i="4"/>
  <c r="E28" i="4"/>
  <c r="AN27" i="4"/>
  <c r="AG27" i="4"/>
  <c r="AC27" i="4"/>
  <c r="Y27" i="4"/>
  <c r="AK27" i="4" s="1"/>
  <c r="P27" i="4"/>
  <c r="L27" i="4"/>
  <c r="K27" i="4"/>
  <c r="E27" i="4"/>
  <c r="AN26" i="4"/>
  <c r="AK26" i="4"/>
  <c r="AC26" i="4"/>
  <c r="Y26" i="4"/>
  <c r="P26" i="4"/>
  <c r="L26" i="4"/>
  <c r="K26" i="4"/>
  <c r="E26" i="4"/>
  <c r="AN25" i="4"/>
  <c r="AC25" i="4"/>
  <c r="Y25" i="4"/>
  <c r="P25" i="4"/>
  <c r="L25" i="4"/>
  <c r="K25" i="4"/>
  <c r="E25" i="4"/>
  <c r="AN24" i="4"/>
  <c r="AG24" i="4"/>
  <c r="AC24" i="4"/>
  <c r="Y24" i="4"/>
  <c r="AK24" i="4" s="1"/>
  <c r="P24" i="4"/>
  <c r="L24" i="4"/>
  <c r="K24" i="4"/>
  <c r="E24" i="4"/>
  <c r="AN23" i="4"/>
  <c r="AK23" i="4"/>
  <c r="AG23" i="4"/>
  <c r="AC23" i="4"/>
  <c r="Y23" i="4"/>
  <c r="S23" i="4"/>
  <c r="P23" i="4"/>
  <c r="L23" i="4"/>
  <c r="K23" i="4"/>
  <c r="E23" i="4"/>
  <c r="AN22" i="4"/>
  <c r="AG22" i="4"/>
  <c r="AC22" i="4"/>
  <c r="Y22" i="4"/>
  <c r="AK22" i="4" s="1"/>
  <c r="P22" i="4"/>
  <c r="L22" i="4"/>
  <c r="K22" i="4"/>
  <c r="E22" i="4"/>
  <c r="AN21" i="4"/>
  <c r="AC21" i="4"/>
  <c r="Y21" i="4"/>
  <c r="AK21" i="4" s="1"/>
  <c r="P21" i="4"/>
  <c r="L21" i="4"/>
  <c r="K21" i="4"/>
  <c r="E21" i="4"/>
  <c r="AN20" i="4"/>
  <c r="AC20" i="4"/>
  <c r="Y20" i="4"/>
  <c r="AK20" i="4" s="1"/>
  <c r="P20" i="4"/>
  <c r="L20" i="4"/>
  <c r="K20" i="4"/>
  <c r="E20" i="4"/>
  <c r="AN19" i="4"/>
  <c r="AC19" i="4"/>
  <c r="Y19" i="4"/>
  <c r="W19" i="4"/>
  <c r="P19" i="4"/>
  <c r="L19" i="4"/>
  <c r="K19" i="4"/>
  <c r="E19" i="4"/>
  <c r="AN18" i="4"/>
  <c r="AC18" i="4"/>
  <c r="Y18" i="4"/>
  <c r="AK18" i="4" s="1"/>
  <c r="P18" i="4"/>
  <c r="L18" i="4"/>
  <c r="K18" i="4"/>
  <c r="E18" i="4"/>
  <c r="AN17" i="4"/>
  <c r="AC17" i="4"/>
  <c r="Y17" i="4"/>
  <c r="AK17" i="4" s="1"/>
  <c r="P17" i="4"/>
  <c r="L17" i="4"/>
  <c r="K17" i="4"/>
  <c r="E17" i="4"/>
  <c r="AN16" i="4"/>
  <c r="AG16" i="4"/>
  <c r="AC16" i="4"/>
  <c r="Y16" i="4"/>
  <c r="AK16" i="4" s="1"/>
  <c r="P16" i="4"/>
  <c r="L16" i="4"/>
  <c r="K16" i="4"/>
  <c r="E16" i="4"/>
  <c r="AN15" i="4"/>
  <c r="AG15" i="4"/>
  <c r="AC15" i="4"/>
  <c r="Y15" i="4"/>
  <c r="AK15" i="4" s="1"/>
  <c r="P15" i="4"/>
  <c r="L15" i="4"/>
  <c r="K15" i="4"/>
  <c r="E15" i="4"/>
  <c r="AN14" i="4"/>
  <c r="AG14" i="4"/>
  <c r="AC14" i="4"/>
  <c r="Y14" i="4"/>
  <c r="AK14" i="4" s="1"/>
  <c r="P14" i="4"/>
  <c r="L14" i="4"/>
  <c r="K14" i="4"/>
  <c r="E14" i="4"/>
  <c r="AN13" i="4"/>
  <c r="AK13" i="4"/>
  <c r="AG13" i="4"/>
  <c r="AC13" i="4"/>
  <c r="Y13" i="4"/>
  <c r="P13" i="4"/>
  <c r="L13" i="4"/>
  <c r="K13" i="4"/>
  <c r="E13" i="4"/>
  <c r="AN12" i="4"/>
  <c r="AG12" i="4"/>
  <c r="AC12" i="4"/>
  <c r="Y12" i="4"/>
  <c r="AK12" i="4" s="1"/>
  <c r="P12" i="4"/>
  <c r="L12" i="4"/>
  <c r="K12" i="4"/>
  <c r="E12" i="4"/>
  <c r="AN11" i="4"/>
  <c r="AG11" i="4"/>
  <c r="AC11" i="4"/>
  <c r="Y11" i="4"/>
  <c r="AK11" i="4" s="1"/>
  <c r="P11" i="4"/>
  <c r="L11" i="4"/>
  <c r="K11" i="4"/>
  <c r="E11" i="4"/>
  <c r="AN10" i="4"/>
  <c r="AG10" i="4"/>
  <c r="AC10" i="4"/>
  <c r="Y10" i="4"/>
  <c r="AK10" i="4" s="1"/>
  <c r="P10" i="4"/>
  <c r="L10" i="4"/>
  <c r="K10" i="4"/>
  <c r="E10" i="4"/>
  <c r="P9" i="4"/>
  <c r="L9" i="4"/>
  <c r="K9" i="4"/>
  <c r="E9" i="4"/>
  <c r="X33" i="4" s="1"/>
  <c r="P8" i="4"/>
  <c r="L8" i="4"/>
  <c r="K8" i="4"/>
  <c r="E8" i="4"/>
  <c r="AN7" i="4"/>
  <c r="AG6" i="4"/>
  <c r="AC6" i="4"/>
  <c r="Y6" i="4"/>
  <c r="AS38" i="4" l="1"/>
  <c r="X22" i="4"/>
  <c r="AJ22" i="4" s="1"/>
  <c r="X41" i="4"/>
  <c r="AQ20" i="4"/>
  <c r="T40" i="4"/>
  <c r="AO40" i="4" s="1"/>
  <c r="U40" i="4"/>
  <c r="AS14" i="4"/>
  <c r="AT14" i="4"/>
  <c r="AQ26" i="4"/>
  <c r="AR26" i="4"/>
  <c r="U19" i="4"/>
  <c r="U37" i="4"/>
  <c r="AR25" i="4"/>
  <c r="AR20" i="4"/>
  <c r="T23" i="4"/>
  <c r="V23" i="4" s="1"/>
  <c r="AF22" i="4"/>
  <c r="AB22" i="4"/>
  <c r="AB33" i="4"/>
  <c r="AF33" i="4"/>
  <c r="AQ17" i="4"/>
  <c r="AS17" i="4"/>
  <c r="AU17" i="4" s="1"/>
  <c r="AT17" i="4"/>
  <c r="AA19" i="4"/>
  <c r="AE19" i="4"/>
  <c r="AO23" i="4"/>
  <c r="AF41" i="4"/>
  <c r="AB41" i="4"/>
  <c r="AQ18" i="4"/>
  <c r="AT18" i="4"/>
  <c r="X19" i="4"/>
  <c r="X20" i="4"/>
  <c r="AS26" i="4"/>
  <c r="AU26" i="4" s="1"/>
  <c r="AQ29" i="4"/>
  <c r="AT29" i="4"/>
  <c r="AS29" i="4"/>
  <c r="AU29" i="4" s="1"/>
  <c r="X36" i="4"/>
  <c r="T10" i="4"/>
  <c r="AR17" i="4"/>
  <c r="AK19" i="4"/>
  <c r="AQ21" i="4"/>
  <c r="AT21" i="4"/>
  <c r="AS21" i="4"/>
  <c r="AU21" i="4" s="1"/>
  <c r="AR21" i="4"/>
  <c r="S24" i="4"/>
  <c r="AT26" i="4"/>
  <c r="AR29" i="4"/>
  <c r="W37" i="4"/>
  <c r="R8" i="4" a="1"/>
  <c r="W10" i="4"/>
  <c r="S11" i="4"/>
  <c r="AR15" i="4"/>
  <c r="T24" i="4"/>
  <c r="S25" i="4"/>
  <c r="AQ33" i="4"/>
  <c r="AT33" i="4"/>
  <c r="T11" i="4"/>
  <c r="AS15" i="4"/>
  <c r="W17" i="4"/>
  <c r="AR18" i="4"/>
  <c r="T25" i="4"/>
  <c r="AR30" i="4"/>
  <c r="AR33" i="4"/>
  <c r="AT15" i="4"/>
  <c r="X17" i="4"/>
  <c r="AJ17" i="4" s="1"/>
  <c r="AS18" i="4"/>
  <c r="U21" i="4"/>
  <c r="W25" i="4"/>
  <c r="AS30" i="4"/>
  <c r="AS33" i="4"/>
  <c r="AR34" i="4"/>
  <c r="AQ19" i="4"/>
  <c r="AT19" i="4"/>
  <c r="AQ22" i="4"/>
  <c r="AT22" i="4"/>
  <c r="AS22" i="4"/>
  <c r="AR22" i="4"/>
  <c r="AT30" i="4"/>
  <c r="AS34" i="4"/>
  <c r="S12" i="4"/>
  <c r="AT13" i="4"/>
  <c r="U18" i="4"/>
  <c r="AR19" i="4"/>
  <c r="W21" i="4"/>
  <c r="S29" i="4"/>
  <c r="AT34" i="4"/>
  <c r="AR37" i="4"/>
  <c r="AS41" i="4"/>
  <c r="AR16" i="4"/>
  <c r="X18" i="4"/>
  <c r="AS19" i="4"/>
  <c r="AT20" i="4"/>
  <c r="AS20" i="4"/>
  <c r="AU20" i="4" s="1"/>
  <c r="X21" i="4"/>
  <c r="S22" i="4"/>
  <c r="W29" i="4"/>
  <c r="S33" i="4"/>
  <c r="AS37" i="4"/>
  <c r="X35" i="4"/>
  <c r="AS31" i="4"/>
  <c r="W31" i="4"/>
  <c r="AT28" i="4"/>
  <c r="W27" i="4"/>
  <c r="S17" i="4"/>
  <c r="T16" i="4"/>
  <c r="W15" i="4"/>
  <c r="W13" i="4"/>
  <c r="AT36" i="4"/>
  <c r="W35" i="4"/>
  <c r="AR31" i="4"/>
  <c r="AS28" i="4"/>
  <c r="T27" i="4"/>
  <c r="S16" i="4"/>
  <c r="X14" i="4"/>
  <c r="AT40" i="4"/>
  <c r="X39" i="4"/>
  <c r="AS36" i="4"/>
  <c r="AU36" i="4" s="1"/>
  <c r="U35" i="4"/>
  <c r="AT32" i="4"/>
  <c r="S31" i="4"/>
  <c r="AR28" i="4"/>
  <c r="S27" i="4"/>
  <c r="T15" i="4"/>
  <c r="T14" i="4"/>
  <c r="U13" i="4"/>
  <c r="X12" i="4"/>
  <c r="X11" i="4"/>
  <c r="AS40" i="4"/>
  <c r="U39" i="4"/>
  <c r="AR36" i="4"/>
  <c r="AS32" i="4"/>
  <c r="X23" i="4"/>
  <c r="S15" i="4"/>
  <c r="S14" i="4"/>
  <c r="T13" i="4"/>
  <c r="U12" i="4"/>
  <c r="W11" i="4"/>
  <c r="AR40" i="4"/>
  <c r="T39" i="4"/>
  <c r="AQ36" i="4"/>
  <c r="AR32" i="4"/>
  <c r="X28" i="4"/>
  <c r="AT25" i="4"/>
  <c r="X24" i="4"/>
  <c r="AJ24" i="4" s="1"/>
  <c r="W23" i="4"/>
  <c r="S13" i="4"/>
  <c r="T12" i="4"/>
  <c r="U11" i="4"/>
  <c r="X10" i="4"/>
  <c r="AT37" i="4"/>
  <c r="X37" i="4"/>
  <c r="AF37" i="4" s="1"/>
  <c r="AQ32" i="4"/>
  <c r="X29" i="4"/>
  <c r="AS25" i="4"/>
  <c r="AU25" i="4" s="1"/>
  <c r="X25" i="4"/>
  <c r="U24" i="4"/>
  <c r="U23" i="4"/>
  <c r="AS16" i="4"/>
  <c r="T22" i="4"/>
  <c r="AQ10" i="4"/>
  <c r="AT10" i="4"/>
  <c r="AS10" i="4"/>
  <c r="AU10" i="4" s="1"/>
  <c r="AR10" i="4"/>
  <c r="AR14" i="4"/>
  <c r="AT16" i="4"/>
  <c r="T19" i="4"/>
  <c r="W22" i="4"/>
  <c r="AT24" i="4"/>
  <c r="W33" i="4"/>
  <c r="AT39" i="4"/>
  <c r="AS39" i="4"/>
  <c r="AU39" i="4" s="1"/>
  <c r="AQ24" i="4"/>
  <c r="AK25" i="4"/>
  <c r="AQ39" i="4"/>
  <c r="AS12" i="4"/>
  <c r="AQ23" i="4"/>
  <c r="AR24" i="4"/>
  <c r="AR39" i="4"/>
  <c r="AQ11" i="4"/>
  <c r="AR23" i="4"/>
  <c r="AS24" i="4"/>
  <c r="AU24" i="4" s="1"/>
  <c r="AQ35" i="4"/>
  <c r="AG41" i="4"/>
  <c r="AG38" i="4"/>
  <c r="AG39" i="4"/>
  <c r="AJ26" i="4"/>
  <c r="AI22" i="4"/>
  <c r="AI10" i="4"/>
  <c r="AJ41" i="4"/>
  <c r="AI18" i="4"/>
  <c r="AI14" i="4"/>
  <c r="AI12" i="4"/>
  <c r="AG34" i="4"/>
  <c r="AG32" i="4"/>
  <c r="AG28" i="4"/>
  <c r="AG26" i="4"/>
  <c r="AJ35" i="4"/>
  <c r="AJ33" i="4"/>
  <c r="AG21" i="4"/>
  <c r="AI35" i="4"/>
  <c r="AI33" i="4"/>
  <c r="AJ31" i="4"/>
  <c r="AG18" i="4"/>
  <c r="AS23" i="4"/>
  <c r="AU23" i="4" s="1"/>
  <c r="AQ27" i="4"/>
  <c r="AR35" i="4"/>
  <c r="AR11" i="4"/>
  <c r="AQ12" i="4"/>
  <c r="AG17" i="4"/>
  <c r="AG19" i="4"/>
  <c r="AG20" i="4"/>
  <c r="AT23" i="4"/>
  <c r="AG25" i="4"/>
  <c r="AR27" i="4"/>
  <c r="AG33" i="4"/>
  <c r="AQ34" i="4"/>
  <c r="AS35" i="4"/>
  <c r="AU35" i="4" s="1"/>
  <c r="AG37" i="4"/>
  <c r="AG40" i="4"/>
  <c r="U41" i="4"/>
  <c r="W41" i="4"/>
  <c r="S39" i="4"/>
  <c r="W38" i="4"/>
  <c r="W36" i="4"/>
  <c r="AI36" i="4" s="1"/>
  <c r="W32" i="4"/>
  <c r="AI32" i="4" s="1"/>
  <c r="W30" i="4"/>
  <c r="W26" i="4"/>
  <c r="W24" i="4"/>
  <c r="AI24" i="4" s="1"/>
  <c r="W20" i="4"/>
  <c r="AI20" i="4" s="1"/>
  <c r="W18" i="4"/>
  <c r="W14" i="4"/>
  <c r="W12" i="4"/>
  <c r="T41" i="4"/>
  <c r="U38" i="4"/>
  <c r="U34" i="4"/>
  <c r="U32" i="4"/>
  <c r="U28" i="4"/>
  <c r="U26" i="4"/>
  <c r="U22" i="4"/>
  <c r="U20" i="4"/>
  <c r="U16" i="4"/>
  <c r="U14" i="4"/>
  <c r="U10" i="4"/>
  <c r="S41" i="4"/>
  <c r="X40" i="4"/>
  <c r="T38" i="4"/>
  <c r="U36" i="4"/>
  <c r="T34" i="4"/>
  <c r="T32" i="4"/>
  <c r="U30" i="4"/>
  <c r="T28" i="4"/>
  <c r="T26" i="4"/>
  <c r="W39" i="4"/>
  <c r="S38" i="4"/>
  <c r="T37" i="4"/>
  <c r="T36" i="4"/>
  <c r="T35" i="4"/>
  <c r="S34" i="4"/>
  <c r="U33" i="4"/>
  <c r="X32" i="4"/>
  <c r="U31" i="4"/>
  <c r="X30" i="4"/>
  <c r="U29" i="4"/>
  <c r="W28" i="4"/>
  <c r="AI28" i="4" s="1"/>
  <c r="S21" i="4"/>
  <c r="T20" i="4"/>
  <c r="U15" i="4"/>
  <c r="X13" i="4"/>
  <c r="S10" i="4"/>
  <c r="W40" i="4"/>
  <c r="S37" i="4"/>
  <c r="S36" i="4"/>
  <c r="S35" i="4"/>
  <c r="T33" i="4"/>
  <c r="S32" i="4"/>
  <c r="T31" i="4"/>
  <c r="T30" i="4"/>
  <c r="T29" i="4"/>
  <c r="S28" i="4"/>
  <c r="U27" i="4"/>
  <c r="X26" i="4"/>
  <c r="U25" i="4"/>
  <c r="AS11" i="4"/>
  <c r="AU11" i="4" s="1"/>
  <c r="AR12" i="4"/>
  <c r="AR13" i="4"/>
  <c r="AQ14" i="4"/>
  <c r="AU14" i="4" s="1"/>
  <c r="X15" i="4"/>
  <c r="AQ15" i="4"/>
  <c r="W16" i="4"/>
  <c r="AI16" i="4" s="1"/>
  <c r="AQ16" i="4"/>
  <c r="T17" i="4"/>
  <c r="AI17" i="4"/>
  <c r="S18" i="4"/>
  <c r="X27" i="4"/>
  <c r="AS27" i="4"/>
  <c r="AU27" i="4" s="1"/>
  <c r="S30" i="4"/>
  <c r="X31" i="4"/>
  <c r="AF31" i="4" s="1"/>
  <c r="AT31" i="4"/>
  <c r="W34" i="4"/>
  <c r="AI34" i="4" s="1"/>
  <c r="AT35" i="4"/>
  <c r="X38" i="4"/>
  <c r="AJ38" i="4" s="1"/>
  <c r="AQ38" i="4"/>
  <c r="AU38" i="4" s="1"/>
  <c r="AT41" i="4"/>
  <c r="AR41" i="4"/>
  <c r="AQ41" i="4"/>
  <c r="AT11" i="4"/>
  <c r="AT12" i="4"/>
  <c r="AS13" i="4"/>
  <c r="X16" i="4"/>
  <c r="U17" i="4"/>
  <c r="T18" i="4"/>
  <c r="S19" i="4"/>
  <c r="AI19" i="4"/>
  <c r="S20" i="4"/>
  <c r="T21" i="4"/>
  <c r="S26" i="4"/>
  <c r="AT27" i="4"/>
  <c r="AG29" i="4"/>
  <c r="AQ30" i="4"/>
  <c r="AK31" i="4"/>
  <c r="X34" i="4"/>
  <c r="AG36" i="4"/>
  <c r="AK37" i="4"/>
  <c r="AR38" i="4"/>
  <c r="S40" i="4"/>
  <c r="AT38" i="4"/>
  <c r="AQ13" i="4"/>
  <c r="AQ28" i="4"/>
  <c r="AQ25" i="4"/>
  <c r="AQ31" i="4"/>
  <c r="AQ37" i="4"/>
  <c r="Y39" i="4"/>
  <c r="AK39" i="4" s="1"/>
  <c r="AB13" i="4"/>
  <c r="AB19" i="4"/>
  <c r="AB25" i="4"/>
  <c r="AB31" i="4"/>
  <c r="AQ40" i="4"/>
  <c r="Z23" i="4" l="1"/>
  <c r="AH23" i="4"/>
  <c r="AU40" i="4"/>
  <c r="AU34" i="4"/>
  <c r="AU15" i="4"/>
  <c r="AJ37" i="4"/>
  <c r="AU16" i="4"/>
  <c r="V40" i="4"/>
  <c r="AP40" i="4" s="1"/>
  <c r="AH32" i="4"/>
  <c r="AH25" i="4"/>
  <c r="V28" i="4"/>
  <c r="AO28" i="4"/>
  <c r="AE26" i="4"/>
  <c r="AA26" i="4"/>
  <c r="AB28" i="4"/>
  <c r="AF28" i="4"/>
  <c r="AJ28" i="4"/>
  <c r="AA37" i="4"/>
  <c r="AE37" i="4"/>
  <c r="AF30" i="4"/>
  <c r="AB30" i="4"/>
  <c r="AE21" i="4"/>
  <c r="AA21" i="4"/>
  <c r="AB27" i="4"/>
  <c r="AF27" i="4"/>
  <c r="V32" i="4"/>
  <c r="AO32" i="4"/>
  <c r="AF21" i="4"/>
  <c r="AB21" i="4"/>
  <c r="AJ21" i="4"/>
  <c r="AF32" i="4"/>
  <c r="AB32" i="4"/>
  <c r="AB11" i="4"/>
  <c r="AF11" i="4"/>
  <c r="AJ11" i="4"/>
  <c r="AE38" i="4"/>
  <c r="AA38" i="4"/>
  <c r="AJ30" i="4"/>
  <c r="AB12" i="4"/>
  <c r="AF12" i="4"/>
  <c r="V38" i="4"/>
  <c r="AH38" i="4" s="1"/>
  <c r="AO38" i="4"/>
  <c r="AJ32" i="4"/>
  <c r="AB10" i="4"/>
  <c r="AF10" i="4"/>
  <c r="AE11" i="4"/>
  <c r="AA11" i="4"/>
  <c r="AI11" i="4"/>
  <c r="AA31" i="4"/>
  <c r="AI31" i="4"/>
  <c r="AE31" i="4"/>
  <c r="AU19" i="4"/>
  <c r="AO25" i="4"/>
  <c r="V25" i="4"/>
  <c r="V24" i="4"/>
  <c r="AO24" i="4"/>
  <c r="AF26" i="4"/>
  <c r="AB26" i="4"/>
  <c r="V21" i="4"/>
  <c r="AO21" i="4"/>
  <c r="AJ15" i="4"/>
  <c r="AF15" i="4"/>
  <c r="AB15" i="4"/>
  <c r="AE15" i="4"/>
  <c r="AA15" i="4"/>
  <c r="AB17" i="4"/>
  <c r="AF17" i="4"/>
  <c r="AO33" i="4"/>
  <c r="V33" i="4"/>
  <c r="AE30" i="4"/>
  <c r="AA30" i="4"/>
  <c r="AB29" i="4"/>
  <c r="AF29" i="4"/>
  <c r="V16" i="4"/>
  <c r="AO16" i="4"/>
  <c r="AE32" i="4"/>
  <c r="AA32" i="4"/>
  <c r="AJ27" i="4"/>
  <c r="AF39" i="4"/>
  <c r="AB39" i="4"/>
  <c r="AJ39" i="4"/>
  <c r="AF36" i="4"/>
  <c r="AB36" i="4"/>
  <c r="AJ34" i="4"/>
  <c r="AF34" i="4"/>
  <c r="AB34" i="4"/>
  <c r="V34" i="4"/>
  <c r="AO34" i="4"/>
  <c r="AE36" i="4"/>
  <c r="AA36" i="4"/>
  <c r="AJ29" i="4"/>
  <c r="AO39" i="4"/>
  <c r="V39" i="4"/>
  <c r="AI27" i="4"/>
  <c r="AE27" i="4"/>
  <c r="AA27" i="4"/>
  <c r="V18" i="4"/>
  <c r="AO18" i="4"/>
  <c r="AF14" i="4"/>
  <c r="AB14" i="4"/>
  <c r="AP23" i="4"/>
  <c r="AD23" i="4"/>
  <c r="AF38" i="4"/>
  <c r="AB38" i="4"/>
  <c r="AE40" i="4"/>
  <c r="AA40" i="4"/>
  <c r="V35" i="4"/>
  <c r="AO35" i="4"/>
  <c r="AF40" i="4"/>
  <c r="AB40" i="4"/>
  <c r="AJ40" i="4"/>
  <c r="V41" i="4"/>
  <c r="AH41" i="4" s="1"/>
  <c r="AO41" i="4"/>
  <c r="AE41" i="4"/>
  <c r="AA41" i="4"/>
  <c r="AE33" i="4"/>
  <c r="AA33" i="4"/>
  <c r="V14" i="4"/>
  <c r="AO14" i="4"/>
  <c r="AO27" i="4"/>
  <c r="V27" i="4"/>
  <c r="AU31" i="4"/>
  <c r="AB18" i="4"/>
  <c r="AF18" i="4"/>
  <c r="AU33" i="4"/>
  <c r="AF16" i="4"/>
  <c r="AJ16" i="4"/>
  <c r="AB16" i="4"/>
  <c r="AJ13" i="4"/>
  <c r="AF13" i="4"/>
  <c r="V36" i="4"/>
  <c r="AH36" i="4" s="1"/>
  <c r="AO36" i="4"/>
  <c r="AA12" i="4"/>
  <c r="AE12" i="4"/>
  <c r="AI37" i="4"/>
  <c r="AJ12" i="4"/>
  <c r="AJ36" i="4"/>
  <c r="V22" i="4"/>
  <c r="AO22" i="4"/>
  <c r="V12" i="4"/>
  <c r="AO12" i="4"/>
  <c r="AO13" i="4"/>
  <c r="V13" i="4"/>
  <c r="AO15" i="4"/>
  <c r="V15" i="4"/>
  <c r="AU28" i="4"/>
  <c r="AB35" i="4"/>
  <c r="AF35" i="4"/>
  <c r="AU30" i="4"/>
  <c r="AE17" i="4"/>
  <c r="AA17" i="4"/>
  <c r="AF20" i="4"/>
  <c r="AB20" i="4"/>
  <c r="Z40" i="4"/>
  <c r="AD40" i="4"/>
  <c r="AU13" i="4"/>
  <c r="AE34" i="4"/>
  <c r="AA34" i="4"/>
  <c r="V17" i="4"/>
  <c r="AO17" i="4"/>
  <c r="AO37" i="4"/>
  <c r="V37" i="4"/>
  <c r="AA14" i="4"/>
  <c r="AE14" i="4"/>
  <c r="AJ14" i="4"/>
  <c r="AH39" i="4"/>
  <c r="AU37" i="4"/>
  <c r="AA25" i="4"/>
  <c r="AE25" i="4"/>
  <c r="AF19" i="4"/>
  <c r="AJ19" i="4"/>
  <c r="AB37" i="4"/>
  <c r="V29" i="4"/>
  <c r="AO29" i="4"/>
  <c r="V20" i="4"/>
  <c r="AO20" i="4"/>
  <c r="AE18" i="4"/>
  <c r="AA18" i="4"/>
  <c r="AJ10" i="4"/>
  <c r="AI26" i="4"/>
  <c r="AE22" i="4"/>
  <c r="AA22" i="4"/>
  <c r="AE23" i="4"/>
  <c r="AA23" i="4"/>
  <c r="AI23" i="4"/>
  <c r="AA35" i="4"/>
  <c r="AE35" i="4"/>
  <c r="AU41" i="4"/>
  <c r="V11" i="4"/>
  <c r="AO11" i="4"/>
  <c r="AI40" i="4"/>
  <c r="AI25" i="4"/>
  <c r="AE16" i="4"/>
  <c r="AA16" i="4"/>
  <c r="V30" i="4"/>
  <c r="AO30" i="4"/>
  <c r="AE39" i="4"/>
  <c r="AA39" i="4"/>
  <c r="AI39" i="4"/>
  <c r="AE20" i="4"/>
  <c r="AA20" i="4"/>
  <c r="AI15" i="4"/>
  <c r="AI38" i="4"/>
  <c r="AJ18" i="4"/>
  <c r="AU12" i="4"/>
  <c r="AO19" i="4"/>
  <c r="V19" i="4"/>
  <c r="AB24" i="4"/>
  <c r="AF24" i="4"/>
  <c r="AB23" i="4"/>
  <c r="AJ23" i="4"/>
  <c r="AF23" i="4"/>
  <c r="AA29" i="4"/>
  <c r="AE29" i="4"/>
  <c r="AI29" i="4"/>
  <c r="AU22" i="4"/>
  <c r="AE10" i="4"/>
  <c r="AA10" i="4"/>
  <c r="AI21" i="4"/>
  <c r="AO31" i="4"/>
  <c r="V31" i="4"/>
  <c r="AE28" i="4"/>
  <c r="AA28" i="4"/>
  <c r="V26" i="4"/>
  <c r="AO26" i="4"/>
  <c r="AE24" i="4"/>
  <c r="AA24" i="4"/>
  <c r="AI41" i="4"/>
  <c r="AI30" i="4"/>
  <c r="AJ20" i="4"/>
  <c r="AF25" i="4"/>
  <c r="AJ25" i="4"/>
  <c r="AU32" i="4"/>
  <c r="AA13" i="4"/>
  <c r="AI13" i="4"/>
  <c r="AE13" i="4"/>
  <c r="AU18" i="4"/>
  <c r="AC9" i="4"/>
  <c r="AB9" i="4"/>
  <c r="U9" i="4"/>
  <c r="Y9" i="4"/>
  <c r="AL9" i="4" s="1"/>
  <c r="X9" i="4"/>
  <c r="AJ9" i="4" s="1"/>
  <c r="W9" i="4"/>
  <c r="AA9" i="4" s="1"/>
  <c r="AN9" i="4"/>
  <c r="AG9" i="4"/>
  <c r="T9" i="4"/>
  <c r="AO9" i="4" s="1"/>
  <c r="R8" i="4"/>
  <c r="S9" i="4"/>
  <c r="V10" i="4"/>
  <c r="AO10" i="4"/>
  <c r="AH9" i="4" l="1"/>
  <c r="AH40" i="4"/>
  <c r="V9" i="4"/>
  <c r="AP9" i="4" s="1"/>
  <c r="AI9" i="4"/>
  <c r="AP13" i="4"/>
  <c r="AH13" i="4"/>
  <c r="AD13" i="4"/>
  <c r="Z13" i="4"/>
  <c r="AP35" i="4"/>
  <c r="AD35" i="4"/>
  <c r="AH35" i="4"/>
  <c r="Z35" i="4"/>
  <c r="AP28" i="4"/>
  <c r="Z28" i="4"/>
  <c r="AD28" i="4"/>
  <c r="AP11" i="4"/>
  <c r="AD11" i="4"/>
  <c r="Z11" i="4"/>
  <c r="AH11" i="4"/>
  <c r="AP39" i="4"/>
  <c r="Z39" i="4"/>
  <c r="AD39" i="4"/>
  <c r="AP26" i="4"/>
  <c r="Z26" i="4"/>
  <c r="AD26" i="4"/>
  <c r="AP24" i="4"/>
  <c r="AD24" i="4"/>
  <c r="Z24" i="4"/>
  <c r="AH24" i="4"/>
  <c r="AP37" i="4"/>
  <c r="AD37" i="4"/>
  <c r="Z37" i="4"/>
  <c r="AH37" i="4"/>
  <c r="AP25" i="4"/>
  <c r="AD25" i="4"/>
  <c r="Z25" i="4"/>
  <c r="AP31" i="4"/>
  <c r="AD31" i="4"/>
  <c r="Z31" i="4"/>
  <c r="AH31" i="4"/>
  <c r="AP19" i="4"/>
  <c r="Z19" i="4"/>
  <c r="AD19" i="4"/>
  <c r="AH19" i="4"/>
  <c r="AP17" i="4"/>
  <c r="AD17" i="4"/>
  <c r="Z17" i="4"/>
  <c r="AH17" i="4"/>
  <c r="AP34" i="4"/>
  <c r="Z34" i="4"/>
  <c r="AD34" i="4"/>
  <c r="AH34" i="4"/>
  <c r="AE9" i="4"/>
  <c r="AP16" i="4"/>
  <c r="Z16" i="4"/>
  <c r="AD16" i="4"/>
  <c r="AH16" i="4"/>
  <c r="AP36" i="4"/>
  <c r="Z36" i="4"/>
  <c r="AD36" i="4"/>
  <c r="AP21" i="4"/>
  <c r="Z21" i="4"/>
  <c r="AD21" i="4"/>
  <c r="AH21" i="4"/>
  <c r="Z14" i="4"/>
  <c r="AP14" i="4"/>
  <c r="AD14" i="4"/>
  <c r="AH14" i="4"/>
  <c r="AP33" i="4"/>
  <c r="Z33" i="4"/>
  <c r="AD33" i="4"/>
  <c r="AH28" i="4"/>
  <c r="AQ9" i="4"/>
  <c r="AT9" i="4"/>
  <c r="AS9" i="4"/>
  <c r="AU9" i="4" s="1"/>
  <c r="AR9" i="4"/>
  <c r="AP12" i="4"/>
  <c r="AD12" i="4"/>
  <c r="AH12" i="4"/>
  <c r="Z12" i="4"/>
  <c r="AH26" i="4"/>
  <c r="AP20" i="4"/>
  <c r="Z20" i="4"/>
  <c r="AH20" i="4"/>
  <c r="AD20" i="4"/>
  <c r="AP22" i="4"/>
  <c r="AH22" i="4"/>
  <c r="AD22" i="4"/>
  <c r="Z22" i="4"/>
  <c r="AP10" i="4"/>
  <c r="Z10" i="4"/>
  <c r="AH10" i="4"/>
  <c r="AD10" i="4"/>
  <c r="AK9" i="4"/>
  <c r="AP29" i="4"/>
  <c r="AD29" i="4"/>
  <c r="Z29" i="4"/>
  <c r="AH29" i="4"/>
  <c r="AP38" i="4"/>
  <c r="Z38" i="4"/>
  <c r="AD38" i="4"/>
  <c r="AH33" i="4"/>
  <c r="AP41" i="4"/>
  <c r="AD41" i="4"/>
  <c r="Z41" i="4"/>
  <c r="U8" i="4"/>
  <c r="U42" i="4" s="1"/>
  <c r="T8" i="4"/>
  <c r="Y8" i="4"/>
  <c r="AL8" i="4" s="1"/>
  <c r="AC8" i="4"/>
  <c r="AC42" i="4" s="1"/>
  <c r="X8" i="4"/>
  <c r="AB8" i="4" s="1"/>
  <c r="AN8" i="4"/>
  <c r="W8" i="4"/>
  <c r="AI8" i="4" s="1"/>
  <c r="S8" i="4"/>
  <c r="AG8" i="4"/>
  <c r="AG42" i="4" s="1"/>
  <c r="AP30" i="4"/>
  <c r="AD30" i="4"/>
  <c r="Z30" i="4"/>
  <c r="AH30" i="4"/>
  <c r="AF9" i="4"/>
  <c r="AP15" i="4"/>
  <c r="AD15" i="4"/>
  <c r="AH15" i="4"/>
  <c r="Z15" i="4"/>
  <c r="AP27" i="4"/>
  <c r="Z27" i="4"/>
  <c r="AD27" i="4"/>
  <c r="AH27" i="4"/>
  <c r="AP18" i="4"/>
  <c r="Z18" i="4"/>
  <c r="AD18" i="4"/>
  <c r="AP32" i="4"/>
  <c r="Z32" i="4"/>
  <c r="AD32" i="4"/>
  <c r="AH18" i="4"/>
  <c r="AE8" i="4" l="1"/>
  <c r="AF8" i="4"/>
  <c r="AF42" i="4" s="1"/>
  <c r="AJ8" i="4"/>
  <c r="AD9" i="4"/>
  <c r="Z9" i="4"/>
  <c r="Y42" i="4"/>
  <c r="AK8" i="4"/>
  <c r="T42" i="4"/>
  <c r="T50" i="4" s="1"/>
  <c r="U50" i="4" s="1"/>
  <c r="AO8" i="4"/>
  <c r="AB42" i="4"/>
  <c r="X42" i="4"/>
  <c r="W42" i="4"/>
  <c r="AG43" i="4"/>
  <c r="AA8" i="4"/>
  <c r="AC43" i="4"/>
  <c r="V8" i="4"/>
  <c r="AT8" i="4"/>
  <c r="AS8" i="4"/>
  <c r="AR8" i="4"/>
  <c r="AQ8" i="4"/>
  <c r="AO42" i="4" l="1"/>
  <c r="AP42" i="4" s="1"/>
  <c r="AJ42" i="4"/>
  <c r="AK42" i="4"/>
  <c r="S56" i="4" s="1"/>
  <c r="AP8" i="4"/>
  <c r="AH8" i="4"/>
  <c r="AH42" i="4" s="1"/>
  <c r="X46" i="4"/>
  <c r="S58" i="4" s="1"/>
  <c r="AD8" i="4"/>
  <c r="AD42" i="4" s="1"/>
  <c r="T45" i="4"/>
  <c r="T46" i="4" s="1"/>
  <c r="Z8" i="4"/>
  <c r="Z42" i="4" s="1"/>
  <c r="AE42" i="4"/>
  <c r="AE46" i="4" s="1"/>
  <c r="AQ42" i="4"/>
  <c r="AR42" i="4" s="1"/>
  <c r="AI42" i="4"/>
  <c r="AA42" i="4"/>
  <c r="AA46" i="4" s="1"/>
  <c r="AU8" i="4"/>
  <c r="AS42" i="4"/>
  <c r="AU42" i="4" s="1"/>
  <c r="V42" i="4"/>
  <c r="Y43" i="4"/>
  <c r="AT42" i="4" l="1"/>
  <c r="AU46" i="4" s="1"/>
  <c r="S57" i="4" s="1"/>
  <c r="AI46" i="4"/>
  <c r="B626" i="3" l="1"/>
  <c r="V625" i="3"/>
  <c r="U625" i="3"/>
  <c r="T625" i="3"/>
  <c r="S625" i="3"/>
  <c r="R625" i="3"/>
  <c r="B625" i="3"/>
  <c r="V624" i="3"/>
  <c r="U624" i="3"/>
  <c r="T624" i="3"/>
  <c r="S624" i="3"/>
  <c r="R624" i="3"/>
  <c r="B624" i="3"/>
  <c r="V623" i="3"/>
  <c r="U623" i="3"/>
  <c r="T623" i="3"/>
  <c r="S623" i="3"/>
  <c r="R623" i="3"/>
  <c r="B623" i="3"/>
  <c r="V622" i="3"/>
  <c r="U622" i="3"/>
  <c r="T622" i="3"/>
  <c r="S622" i="3"/>
  <c r="R622" i="3"/>
  <c r="B622" i="3"/>
  <c r="V621" i="3"/>
  <c r="U621" i="3"/>
  <c r="T621" i="3"/>
  <c r="S621" i="3"/>
  <c r="R621" i="3"/>
  <c r="B621" i="3"/>
  <c r="V620" i="3"/>
  <c r="U620" i="3"/>
  <c r="T620" i="3"/>
  <c r="S620" i="3"/>
  <c r="R620" i="3"/>
  <c r="B620" i="3"/>
  <c r="V619" i="3"/>
  <c r="U619" i="3"/>
  <c r="T619" i="3"/>
  <c r="S619" i="3"/>
  <c r="R619" i="3"/>
  <c r="B619" i="3"/>
  <c r="V618" i="3"/>
  <c r="U618" i="3"/>
  <c r="T618" i="3"/>
  <c r="S618" i="3"/>
  <c r="R618" i="3"/>
  <c r="B618" i="3"/>
  <c r="V617" i="3"/>
  <c r="U617" i="3"/>
  <c r="T617" i="3"/>
  <c r="S617" i="3"/>
  <c r="R617" i="3"/>
  <c r="B617" i="3"/>
  <c r="V616" i="3"/>
  <c r="U616" i="3"/>
  <c r="T616" i="3"/>
  <c r="S616" i="3"/>
  <c r="R616" i="3"/>
  <c r="B616" i="3"/>
  <c r="V615" i="3"/>
  <c r="U615" i="3"/>
  <c r="T615" i="3"/>
  <c r="S615" i="3"/>
  <c r="R615" i="3"/>
  <c r="B615" i="3"/>
  <c r="V614" i="3"/>
  <c r="U614" i="3"/>
  <c r="T614" i="3"/>
  <c r="S614" i="3"/>
  <c r="R614" i="3"/>
  <c r="B614" i="3"/>
  <c r="V613" i="3"/>
  <c r="U613" i="3"/>
  <c r="T613" i="3"/>
  <c r="S613" i="3"/>
  <c r="R613" i="3"/>
  <c r="B613" i="3"/>
  <c r="V612" i="3"/>
  <c r="U612" i="3"/>
  <c r="T612" i="3"/>
  <c r="S612" i="3"/>
  <c r="R612" i="3"/>
  <c r="B612" i="3"/>
  <c r="V611" i="3"/>
  <c r="U611" i="3"/>
  <c r="T611" i="3"/>
  <c r="S611" i="3"/>
  <c r="R611" i="3"/>
  <c r="B611" i="3"/>
  <c r="V610" i="3"/>
  <c r="U610" i="3"/>
  <c r="T610" i="3"/>
  <c r="S610" i="3"/>
  <c r="R610" i="3"/>
  <c r="B610" i="3"/>
  <c r="V609" i="3"/>
  <c r="U609" i="3"/>
  <c r="T609" i="3"/>
  <c r="S609" i="3"/>
  <c r="R609" i="3"/>
  <c r="B609" i="3"/>
  <c r="V608" i="3"/>
  <c r="U608" i="3"/>
  <c r="T608" i="3"/>
  <c r="S608" i="3"/>
  <c r="R608" i="3"/>
  <c r="B608" i="3"/>
  <c r="V607" i="3"/>
  <c r="U607" i="3"/>
  <c r="T607" i="3"/>
  <c r="S607" i="3"/>
  <c r="R607" i="3"/>
  <c r="B607" i="3"/>
  <c r="V606" i="3"/>
  <c r="U606" i="3"/>
  <c r="T606" i="3"/>
  <c r="S606" i="3"/>
  <c r="R606" i="3"/>
  <c r="B606" i="3"/>
  <c r="V605" i="3"/>
  <c r="U605" i="3"/>
  <c r="T605" i="3"/>
  <c r="S605" i="3"/>
  <c r="R605" i="3"/>
  <c r="B605" i="3"/>
  <c r="V604" i="3"/>
  <c r="U604" i="3"/>
  <c r="T604" i="3"/>
  <c r="S604" i="3"/>
  <c r="R604" i="3"/>
  <c r="B604" i="3"/>
  <c r="V603" i="3"/>
  <c r="U603" i="3"/>
  <c r="T603" i="3"/>
  <c r="S603" i="3"/>
  <c r="R603" i="3"/>
  <c r="B603" i="3"/>
  <c r="V602" i="3"/>
  <c r="U602" i="3"/>
  <c r="T602" i="3"/>
  <c r="S602" i="3"/>
  <c r="R602" i="3"/>
  <c r="B602" i="3"/>
  <c r="V601" i="3"/>
  <c r="U601" i="3"/>
  <c r="T601" i="3"/>
  <c r="S601" i="3"/>
  <c r="R601" i="3"/>
  <c r="B601" i="3"/>
  <c r="V600" i="3"/>
  <c r="U600" i="3"/>
  <c r="T600" i="3"/>
  <c r="S600" i="3"/>
  <c r="R600" i="3"/>
  <c r="B600" i="3"/>
  <c r="V599" i="3"/>
  <c r="U599" i="3"/>
  <c r="T599" i="3"/>
  <c r="S599" i="3"/>
  <c r="R599" i="3"/>
  <c r="B599" i="3"/>
  <c r="V598" i="3"/>
  <c r="U598" i="3"/>
  <c r="T598" i="3"/>
  <c r="S598" i="3"/>
  <c r="R598" i="3"/>
  <c r="B598" i="3"/>
  <c r="V597" i="3"/>
  <c r="U597" i="3"/>
  <c r="T597" i="3"/>
  <c r="S597" i="3"/>
  <c r="R597" i="3"/>
  <c r="B597" i="3"/>
  <c r="V596" i="3"/>
  <c r="U596" i="3"/>
  <c r="T596" i="3"/>
  <c r="S596" i="3"/>
  <c r="R596" i="3"/>
  <c r="B596" i="3"/>
  <c r="V595" i="3"/>
  <c r="U595" i="3"/>
  <c r="T595" i="3"/>
  <c r="S595" i="3"/>
  <c r="R595" i="3"/>
  <c r="B595" i="3"/>
  <c r="V594" i="3"/>
  <c r="U594" i="3"/>
  <c r="T594" i="3"/>
  <c r="S594" i="3"/>
  <c r="R594" i="3"/>
  <c r="B594" i="3"/>
  <c r="V593" i="3"/>
  <c r="U593" i="3"/>
  <c r="T593" i="3"/>
  <c r="S593" i="3"/>
  <c r="R593" i="3"/>
  <c r="B593" i="3"/>
  <c r="V592" i="3"/>
  <c r="U592" i="3"/>
  <c r="T592" i="3"/>
  <c r="S592" i="3"/>
  <c r="R592" i="3"/>
  <c r="B592" i="3"/>
  <c r="V591" i="3"/>
  <c r="U591" i="3"/>
  <c r="T591" i="3"/>
  <c r="S591" i="3"/>
  <c r="R591" i="3"/>
  <c r="B591" i="3"/>
  <c r="V590" i="3"/>
  <c r="U590" i="3"/>
  <c r="T590" i="3"/>
  <c r="S590" i="3"/>
  <c r="R590" i="3"/>
  <c r="B590" i="3"/>
  <c r="V589" i="3"/>
  <c r="U589" i="3"/>
  <c r="T589" i="3"/>
  <c r="S589" i="3"/>
  <c r="R589" i="3"/>
  <c r="B589" i="3"/>
  <c r="V588" i="3"/>
  <c r="U588" i="3"/>
  <c r="T588" i="3"/>
  <c r="S588" i="3"/>
  <c r="R588" i="3"/>
  <c r="B588" i="3"/>
  <c r="V587" i="3"/>
  <c r="U587" i="3"/>
  <c r="T587" i="3"/>
  <c r="S587" i="3"/>
  <c r="R587" i="3"/>
  <c r="B587" i="3"/>
  <c r="V586" i="3"/>
  <c r="U586" i="3"/>
  <c r="T586" i="3"/>
  <c r="S586" i="3"/>
  <c r="R586" i="3"/>
  <c r="B586" i="3"/>
  <c r="V585" i="3"/>
  <c r="U585" i="3"/>
  <c r="T585" i="3"/>
  <c r="S585" i="3"/>
  <c r="R585" i="3"/>
  <c r="B585" i="3"/>
  <c r="V584" i="3"/>
  <c r="U584" i="3"/>
  <c r="T584" i="3"/>
  <c r="S584" i="3"/>
  <c r="R584" i="3"/>
  <c r="B584" i="3"/>
  <c r="V583" i="3"/>
  <c r="U583" i="3"/>
  <c r="T583" i="3"/>
  <c r="S583" i="3"/>
  <c r="R583" i="3"/>
  <c r="B583" i="3"/>
  <c r="V582" i="3"/>
  <c r="U582" i="3"/>
  <c r="T582" i="3"/>
  <c r="S582" i="3"/>
  <c r="R582" i="3"/>
  <c r="B582" i="3"/>
  <c r="V581" i="3"/>
  <c r="U581" i="3"/>
  <c r="T581" i="3"/>
  <c r="S581" i="3"/>
  <c r="R581" i="3"/>
  <c r="B581" i="3"/>
  <c r="V580" i="3"/>
  <c r="U580" i="3"/>
  <c r="T580" i="3"/>
  <c r="S580" i="3"/>
  <c r="R580" i="3"/>
  <c r="B580" i="3"/>
  <c r="V579" i="3"/>
  <c r="U579" i="3"/>
  <c r="T579" i="3"/>
  <c r="S579" i="3"/>
  <c r="R579" i="3"/>
  <c r="B579" i="3"/>
  <c r="V578" i="3"/>
  <c r="U578" i="3"/>
  <c r="T578" i="3"/>
  <c r="S578" i="3"/>
  <c r="R578" i="3"/>
  <c r="B578" i="3"/>
  <c r="V577" i="3"/>
  <c r="U577" i="3"/>
  <c r="T577" i="3"/>
  <c r="S577" i="3"/>
  <c r="R577" i="3"/>
  <c r="B577" i="3"/>
  <c r="V576" i="3"/>
  <c r="U576" i="3"/>
  <c r="T576" i="3"/>
  <c r="S576" i="3"/>
  <c r="R576" i="3"/>
  <c r="B576" i="3"/>
  <c r="V575" i="3"/>
  <c r="U575" i="3"/>
  <c r="T575" i="3"/>
  <c r="S575" i="3"/>
  <c r="R575" i="3"/>
  <c r="B575" i="3"/>
  <c r="V574" i="3"/>
  <c r="U574" i="3"/>
  <c r="T574" i="3"/>
  <c r="S574" i="3"/>
  <c r="R574" i="3"/>
  <c r="B574" i="3"/>
  <c r="V573" i="3"/>
  <c r="U573" i="3"/>
  <c r="T573" i="3"/>
  <c r="S573" i="3"/>
  <c r="R573" i="3"/>
  <c r="B573" i="3"/>
  <c r="V572" i="3"/>
  <c r="U572" i="3"/>
  <c r="T572" i="3"/>
  <c r="S572" i="3"/>
  <c r="R572" i="3"/>
  <c r="B572" i="3"/>
  <c r="V571" i="3"/>
  <c r="U571" i="3"/>
  <c r="T571" i="3"/>
  <c r="S571" i="3"/>
  <c r="R571" i="3"/>
  <c r="B571" i="3"/>
  <c r="V570" i="3"/>
  <c r="U570" i="3"/>
  <c r="T570" i="3"/>
  <c r="S570" i="3"/>
  <c r="R570" i="3"/>
  <c r="B570" i="3"/>
  <c r="V569" i="3"/>
  <c r="U569" i="3"/>
  <c r="T569" i="3"/>
  <c r="S569" i="3"/>
  <c r="R569" i="3"/>
  <c r="B569" i="3"/>
  <c r="V568" i="3"/>
  <c r="U568" i="3"/>
  <c r="T568" i="3"/>
  <c r="S568" i="3"/>
  <c r="R568" i="3"/>
  <c r="B568" i="3"/>
  <c r="V567" i="3"/>
  <c r="U567" i="3"/>
  <c r="T567" i="3"/>
  <c r="S567" i="3"/>
  <c r="R567" i="3"/>
  <c r="B567" i="3"/>
  <c r="V566" i="3"/>
  <c r="U566" i="3"/>
  <c r="T566" i="3"/>
  <c r="S566" i="3"/>
  <c r="R566" i="3"/>
  <c r="B566" i="3"/>
  <c r="V565" i="3"/>
  <c r="U565" i="3"/>
  <c r="T565" i="3"/>
  <c r="S565" i="3"/>
  <c r="R565" i="3"/>
  <c r="B565" i="3"/>
  <c r="V564" i="3"/>
  <c r="U564" i="3"/>
  <c r="T564" i="3"/>
  <c r="S564" i="3"/>
  <c r="R564" i="3"/>
  <c r="B564" i="3"/>
  <c r="V563" i="3"/>
  <c r="U563" i="3"/>
  <c r="T563" i="3"/>
  <c r="S563" i="3"/>
  <c r="R563" i="3"/>
  <c r="B563" i="3"/>
  <c r="V562" i="3"/>
  <c r="U562" i="3"/>
  <c r="T562" i="3"/>
  <c r="S562" i="3"/>
  <c r="R562" i="3"/>
  <c r="B562" i="3"/>
  <c r="V561" i="3"/>
  <c r="U561" i="3"/>
  <c r="T561" i="3"/>
  <c r="S561" i="3"/>
  <c r="R561" i="3"/>
  <c r="B561" i="3"/>
  <c r="V560" i="3"/>
  <c r="U560" i="3"/>
  <c r="T560" i="3"/>
  <c r="S560" i="3"/>
  <c r="R560" i="3"/>
  <c r="B560" i="3"/>
  <c r="V559" i="3"/>
  <c r="U559" i="3"/>
  <c r="T559" i="3"/>
  <c r="S559" i="3"/>
  <c r="R559" i="3"/>
  <c r="B559" i="3"/>
  <c r="V558" i="3"/>
  <c r="U558" i="3"/>
  <c r="T558" i="3"/>
  <c r="S558" i="3"/>
  <c r="R558" i="3"/>
  <c r="B558" i="3"/>
  <c r="V557" i="3"/>
  <c r="U557" i="3"/>
  <c r="T557" i="3"/>
  <c r="S557" i="3"/>
  <c r="R557" i="3"/>
  <c r="B557" i="3"/>
  <c r="V556" i="3"/>
  <c r="U556" i="3"/>
  <c r="T556" i="3"/>
  <c r="S556" i="3"/>
  <c r="R556" i="3"/>
  <c r="B556" i="3"/>
  <c r="V555" i="3"/>
  <c r="U555" i="3"/>
  <c r="T555" i="3"/>
  <c r="S555" i="3"/>
  <c r="R555" i="3"/>
  <c r="B555" i="3"/>
  <c r="V554" i="3"/>
  <c r="U554" i="3"/>
  <c r="T554" i="3"/>
  <c r="S554" i="3"/>
  <c r="R554" i="3"/>
  <c r="B554" i="3"/>
  <c r="V553" i="3"/>
  <c r="U553" i="3"/>
  <c r="T553" i="3"/>
  <c r="S553" i="3"/>
  <c r="R553" i="3"/>
  <c r="B553" i="3"/>
  <c r="V552" i="3"/>
  <c r="U552" i="3"/>
  <c r="T552" i="3"/>
  <c r="S552" i="3"/>
  <c r="R552" i="3"/>
  <c r="B552" i="3"/>
  <c r="V551" i="3"/>
  <c r="U551" i="3"/>
  <c r="T551" i="3"/>
  <c r="S551" i="3"/>
  <c r="R551" i="3"/>
  <c r="B551" i="3"/>
  <c r="V550" i="3"/>
  <c r="U550" i="3"/>
  <c r="T550" i="3"/>
  <c r="S550" i="3"/>
  <c r="R550" i="3"/>
  <c r="B550" i="3"/>
  <c r="V549" i="3"/>
  <c r="U549" i="3"/>
  <c r="T549" i="3"/>
  <c r="S549" i="3"/>
  <c r="R549" i="3"/>
  <c r="B549" i="3"/>
  <c r="V548" i="3"/>
  <c r="U548" i="3"/>
  <c r="T548" i="3"/>
  <c r="S548" i="3"/>
  <c r="R548" i="3"/>
  <c r="B548" i="3"/>
  <c r="V547" i="3"/>
  <c r="U547" i="3"/>
  <c r="T547" i="3"/>
  <c r="S547" i="3"/>
  <c r="R547" i="3"/>
  <c r="B547" i="3"/>
  <c r="V546" i="3"/>
  <c r="U546" i="3"/>
  <c r="T546" i="3"/>
  <c r="S546" i="3"/>
  <c r="R546" i="3"/>
  <c r="B546" i="3"/>
  <c r="V545" i="3"/>
  <c r="U545" i="3"/>
  <c r="T545" i="3"/>
  <c r="S545" i="3"/>
  <c r="R545" i="3"/>
  <c r="B545" i="3"/>
  <c r="V544" i="3"/>
  <c r="U544" i="3"/>
  <c r="T544" i="3"/>
  <c r="S544" i="3"/>
  <c r="R544" i="3"/>
  <c r="B544" i="3"/>
  <c r="V543" i="3"/>
  <c r="U543" i="3"/>
  <c r="T543" i="3"/>
  <c r="S543" i="3"/>
  <c r="R543" i="3"/>
  <c r="B543" i="3"/>
  <c r="V542" i="3"/>
  <c r="U542" i="3"/>
  <c r="T542" i="3"/>
  <c r="S542" i="3"/>
  <c r="R542" i="3"/>
  <c r="B542" i="3"/>
  <c r="V541" i="3"/>
  <c r="U541" i="3"/>
  <c r="T541" i="3"/>
  <c r="S541" i="3"/>
  <c r="R541" i="3"/>
  <c r="B541" i="3"/>
  <c r="V540" i="3"/>
  <c r="U540" i="3"/>
  <c r="T540" i="3"/>
  <c r="S540" i="3"/>
  <c r="R540" i="3"/>
  <c r="B540" i="3"/>
  <c r="V539" i="3"/>
  <c r="U539" i="3"/>
  <c r="T539" i="3"/>
  <c r="S539" i="3"/>
  <c r="R539" i="3"/>
  <c r="B539" i="3"/>
  <c r="V538" i="3"/>
  <c r="U538" i="3"/>
  <c r="T538" i="3"/>
  <c r="S538" i="3"/>
  <c r="R538" i="3"/>
  <c r="B538" i="3"/>
  <c r="V537" i="3"/>
  <c r="U537" i="3"/>
  <c r="T537" i="3"/>
  <c r="S537" i="3"/>
  <c r="R537" i="3"/>
  <c r="B537" i="3"/>
  <c r="V536" i="3"/>
  <c r="U536" i="3"/>
  <c r="T536" i="3"/>
  <c r="S536" i="3"/>
  <c r="R536" i="3"/>
  <c r="B536" i="3"/>
  <c r="V535" i="3"/>
  <c r="U535" i="3"/>
  <c r="T535" i="3"/>
  <c r="S535" i="3"/>
  <c r="R535" i="3"/>
  <c r="B535" i="3"/>
  <c r="V534" i="3"/>
  <c r="U534" i="3"/>
  <c r="T534" i="3"/>
  <c r="S534" i="3"/>
  <c r="R534" i="3"/>
  <c r="B534" i="3"/>
  <c r="V533" i="3"/>
  <c r="U533" i="3"/>
  <c r="T533" i="3"/>
  <c r="S533" i="3"/>
  <c r="R533" i="3"/>
  <c r="B533" i="3"/>
  <c r="V532" i="3"/>
  <c r="U532" i="3"/>
  <c r="T532" i="3"/>
  <c r="S532" i="3"/>
  <c r="R532" i="3"/>
  <c r="B532" i="3"/>
  <c r="V531" i="3"/>
  <c r="U531" i="3"/>
  <c r="T531" i="3"/>
  <c r="S531" i="3"/>
  <c r="R531" i="3"/>
  <c r="B531" i="3"/>
  <c r="V530" i="3"/>
  <c r="U530" i="3"/>
  <c r="T530" i="3"/>
  <c r="S530" i="3"/>
  <c r="R530" i="3"/>
  <c r="B530" i="3"/>
  <c r="V529" i="3"/>
  <c r="U529" i="3"/>
  <c r="T529" i="3"/>
  <c r="S529" i="3"/>
  <c r="R529" i="3"/>
  <c r="B529" i="3"/>
  <c r="V528" i="3"/>
  <c r="U528" i="3"/>
  <c r="T528" i="3"/>
  <c r="S528" i="3"/>
  <c r="R528" i="3"/>
  <c r="B528" i="3"/>
  <c r="V527" i="3"/>
  <c r="U527" i="3"/>
  <c r="T527" i="3"/>
  <c r="S527" i="3"/>
  <c r="R527" i="3"/>
  <c r="B527" i="3"/>
  <c r="V526" i="3"/>
  <c r="U526" i="3"/>
  <c r="T526" i="3"/>
  <c r="S526" i="3"/>
  <c r="R526" i="3"/>
  <c r="B526" i="3"/>
  <c r="V525" i="3"/>
  <c r="U525" i="3"/>
  <c r="T525" i="3"/>
  <c r="S525" i="3"/>
  <c r="R525" i="3"/>
  <c r="B525" i="3"/>
  <c r="V524" i="3"/>
  <c r="U524" i="3"/>
  <c r="T524" i="3"/>
  <c r="S524" i="3"/>
  <c r="R524" i="3"/>
  <c r="B524" i="3"/>
  <c r="V523" i="3"/>
  <c r="U523" i="3"/>
  <c r="T523" i="3"/>
  <c r="S523" i="3"/>
  <c r="R523" i="3"/>
  <c r="B523" i="3"/>
  <c r="V522" i="3"/>
  <c r="U522" i="3"/>
  <c r="T522" i="3"/>
  <c r="S522" i="3"/>
  <c r="R522" i="3"/>
  <c r="B522" i="3"/>
  <c r="V521" i="3"/>
  <c r="U521" i="3"/>
  <c r="T521" i="3"/>
  <c r="S521" i="3"/>
  <c r="R521" i="3"/>
  <c r="B521" i="3"/>
  <c r="V520" i="3"/>
  <c r="U520" i="3"/>
  <c r="T520" i="3"/>
  <c r="S520" i="3"/>
  <c r="R520" i="3"/>
  <c r="B520" i="3"/>
  <c r="V519" i="3"/>
  <c r="U519" i="3"/>
  <c r="T519" i="3"/>
  <c r="S519" i="3"/>
  <c r="R519" i="3"/>
  <c r="B519" i="3"/>
  <c r="V518" i="3"/>
  <c r="U518" i="3"/>
  <c r="T518" i="3"/>
  <c r="S518" i="3"/>
  <c r="R518" i="3"/>
  <c r="B518" i="3"/>
  <c r="V517" i="3"/>
  <c r="U517" i="3"/>
  <c r="T517" i="3"/>
  <c r="S517" i="3"/>
  <c r="R517" i="3"/>
  <c r="B517" i="3"/>
  <c r="V516" i="3"/>
  <c r="U516" i="3"/>
  <c r="T516" i="3"/>
  <c r="S516" i="3"/>
  <c r="R516" i="3"/>
  <c r="B516" i="3"/>
  <c r="V515" i="3"/>
  <c r="U515" i="3"/>
  <c r="T515" i="3"/>
  <c r="S515" i="3"/>
  <c r="R515" i="3"/>
  <c r="B515" i="3"/>
  <c r="V514" i="3"/>
  <c r="U514" i="3"/>
  <c r="T514" i="3"/>
  <c r="S514" i="3"/>
  <c r="R514" i="3"/>
  <c r="B514" i="3"/>
  <c r="V513" i="3"/>
  <c r="U513" i="3"/>
  <c r="T513" i="3"/>
  <c r="S513" i="3"/>
  <c r="R513" i="3"/>
  <c r="B513" i="3"/>
  <c r="V512" i="3"/>
  <c r="U512" i="3"/>
  <c r="T512" i="3"/>
  <c r="S512" i="3"/>
  <c r="R512" i="3"/>
  <c r="B512" i="3"/>
  <c r="V511" i="3"/>
  <c r="U511" i="3"/>
  <c r="T511" i="3"/>
  <c r="S511" i="3"/>
  <c r="R511" i="3"/>
  <c r="B511" i="3"/>
  <c r="V510" i="3"/>
  <c r="U510" i="3"/>
  <c r="T510" i="3"/>
  <c r="S510" i="3"/>
  <c r="R510" i="3"/>
  <c r="B510" i="3"/>
  <c r="V509" i="3"/>
  <c r="U509" i="3"/>
  <c r="T509" i="3"/>
  <c r="S509" i="3"/>
  <c r="R509" i="3"/>
  <c r="B509" i="3"/>
  <c r="V508" i="3"/>
  <c r="U508" i="3"/>
  <c r="T508" i="3"/>
  <c r="S508" i="3"/>
  <c r="R508" i="3"/>
  <c r="B508" i="3"/>
  <c r="V507" i="3"/>
  <c r="U507" i="3"/>
  <c r="T507" i="3"/>
  <c r="S507" i="3"/>
  <c r="R507" i="3"/>
  <c r="B507" i="3"/>
  <c r="V506" i="3"/>
  <c r="U506" i="3"/>
  <c r="T506" i="3"/>
  <c r="S506" i="3"/>
  <c r="R506" i="3"/>
  <c r="B506" i="3"/>
  <c r="V505" i="3"/>
  <c r="U505" i="3"/>
  <c r="T505" i="3"/>
  <c r="S505" i="3"/>
  <c r="R505" i="3"/>
  <c r="B505" i="3"/>
  <c r="V504" i="3"/>
  <c r="U504" i="3"/>
  <c r="T504" i="3"/>
  <c r="S504" i="3"/>
  <c r="R504" i="3"/>
  <c r="B504" i="3"/>
  <c r="V503" i="3"/>
  <c r="U503" i="3"/>
  <c r="T503" i="3"/>
  <c r="S503" i="3"/>
  <c r="R503" i="3"/>
  <c r="B503" i="3"/>
  <c r="V502" i="3"/>
  <c r="U502" i="3"/>
  <c r="T502" i="3"/>
  <c r="S502" i="3"/>
  <c r="R502" i="3"/>
  <c r="B502" i="3"/>
  <c r="V501" i="3"/>
  <c r="U501" i="3"/>
  <c r="T501" i="3"/>
  <c r="S501" i="3"/>
  <c r="R501" i="3"/>
  <c r="B501" i="3"/>
  <c r="V500" i="3"/>
  <c r="U500" i="3"/>
  <c r="T500" i="3"/>
  <c r="S500" i="3"/>
  <c r="R500" i="3"/>
  <c r="B500" i="3"/>
  <c r="V499" i="3"/>
  <c r="U499" i="3"/>
  <c r="T499" i="3"/>
  <c r="S499" i="3"/>
  <c r="R499" i="3"/>
  <c r="B499" i="3"/>
  <c r="V498" i="3"/>
  <c r="U498" i="3"/>
  <c r="T498" i="3"/>
  <c r="S498" i="3"/>
  <c r="R498" i="3"/>
  <c r="B498" i="3"/>
  <c r="V497" i="3"/>
  <c r="U497" i="3"/>
  <c r="T497" i="3"/>
  <c r="S497" i="3"/>
  <c r="R497" i="3"/>
  <c r="B497" i="3"/>
  <c r="V496" i="3"/>
  <c r="U496" i="3"/>
  <c r="T496" i="3"/>
  <c r="S496" i="3"/>
  <c r="R496" i="3"/>
  <c r="B496" i="3"/>
  <c r="V495" i="3"/>
  <c r="U495" i="3"/>
  <c r="T495" i="3"/>
  <c r="S495" i="3"/>
  <c r="R495" i="3"/>
  <c r="B495" i="3"/>
  <c r="V494" i="3"/>
  <c r="U494" i="3"/>
  <c r="T494" i="3"/>
  <c r="S494" i="3"/>
  <c r="R494" i="3"/>
  <c r="B494" i="3"/>
  <c r="V493" i="3"/>
  <c r="U493" i="3"/>
  <c r="T493" i="3"/>
  <c r="S493" i="3"/>
  <c r="R493" i="3"/>
  <c r="B493" i="3"/>
  <c r="V492" i="3"/>
  <c r="U492" i="3"/>
  <c r="T492" i="3"/>
  <c r="S492" i="3"/>
  <c r="R492" i="3"/>
  <c r="B492" i="3"/>
  <c r="V491" i="3"/>
  <c r="U491" i="3"/>
  <c r="T491" i="3"/>
  <c r="S491" i="3"/>
  <c r="R491" i="3"/>
  <c r="B491" i="3"/>
  <c r="V490" i="3"/>
  <c r="U490" i="3"/>
  <c r="T490" i="3"/>
  <c r="S490" i="3"/>
  <c r="R490" i="3"/>
  <c r="B490" i="3"/>
  <c r="V489" i="3"/>
  <c r="U489" i="3"/>
  <c r="T489" i="3"/>
  <c r="S489" i="3"/>
  <c r="R489" i="3"/>
  <c r="B489" i="3"/>
  <c r="V488" i="3"/>
  <c r="U488" i="3"/>
  <c r="T488" i="3"/>
  <c r="S488" i="3"/>
  <c r="R488" i="3"/>
  <c r="B488" i="3"/>
  <c r="V487" i="3"/>
  <c r="U487" i="3"/>
  <c r="T487" i="3"/>
  <c r="S487" i="3"/>
  <c r="R487" i="3"/>
  <c r="B487" i="3"/>
  <c r="V486" i="3"/>
  <c r="U486" i="3"/>
  <c r="T486" i="3"/>
  <c r="S486" i="3"/>
  <c r="R486" i="3"/>
  <c r="B486" i="3"/>
  <c r="V485" i="3"/>
  <c r="U485" i="3"/>
  <c r="T485" i="3"/>
  <c r="S485" i="3"/>
  <c r="R485" i="3"/>
  <c r="B485" i="3"/>
  <c r="V484" i="3"/>
  <c r="U484" i="3"/>
  <c r="T484" i="3"/>
  <c r="S484" i="3"/>
  <c r="R484" i="3"/>
  <c r="B484" i="3"/>
  <c r="V483" i="3"/>
  <c r="U483" i="3"/>
  <c r="T483" i="3"/>
  <c r="S483" i="3"/>
  <c r="R483" i="3"/>
  <c r="B483" i="3"/>
  <c r="V482" i="3"/>
  <c r="U482" i="3"/>
  <c r="T482" i="3"/>
  <c r="S482" i="3"/>
  <c r="R482" i="3"/>
  <c r="B482" i="3"/>
  <c r="V481" i="3"/>
  <c r="U481" i="3"/>
  <c r="T481" i="3"/>
  <c r="S481" i="3"/>
  <c r="R481" i="3"/>
  <c r="B481" i="3"/>
  <c r="V480" i="3"/>
  <c r="U480" i="3"/>
  <c r="T480" i="3"/>
  <c r="S480" i="3"/>
  <c r="R480" i="3"/>
  <c r="B480" i="3"/>
  <c r="V479" i="3"/>
  <c r="U479" i="3"/>
  <c r="T479" i="3"/>
  <c r="S479" i="3"/>
  <c r="R479" i="3"/>
  <c r="B479" i="3"/>
  <c r="V478" i="3"/>
  <c r="U478" i="3"/>
  <c r="T478" i="3"/>
  <c r="S478" i="3"/>
  <c r="R478" i="3"/>
  <c r="B478" i="3"/>
  <c r="V477" i="3"/>
  <c r="U477" i="3"/>
  <c r="T477" i="3"/>
  <c r="S477" i="3"/>
  <c r="R477" i="3"/>
  <c r="B477" i="3"/>
  <c r="V476" i="3"/>
  <c r="U476" i="3"/>
  <c r="T476" i="3"/>
  <c r="S476" i="3"/>
  <c r="R476" i="3"/>
  <c r="B476" i="3"/>
  <c r="V475" i="3"/>
  <c r="U475" i="3"/>
  <c r="T475" i="3"/>
  <c r="S475" i="3"/>
  <c r="R475" i="3"/>
  <c r="B475" i="3"/>
  <c r="V474" i="3"/>
  <c r="U474" i="3"/>
  <c r="T474" i="3"/>
  <c r="S474" i="3"/>
  <c r="R474" i="3"/>
  <c r="B474" i="3"/>
  <c r="V473" i="3"/>
  <c r="U473" i="3"/>
  <c r="T473" i="3"/>
  <c r="S473" i="3"/>
  <c r="R473" i="3"/>
  <c r="B473" i="3"/>
  <c r="V472" i="3"/>
  <c r="U472" i="3"/>
  <c r="T472" i="3"/>
  <c r="S472" i="3"/>
  <c r="R472" i="3"/>
  <c r="B472" i="3"/>
  <c r="V471" i="3"/>
  <c r="U471" i="3"/>
  <c r="T471" i="3"/>
  <c r="S471" i="3"/>
  <c r="R471" i="3"/>
  <c r="B471" i="3"/>
  <c r="V470" i="3"/>
  <c r="U470" i="3"/>
  <c r="T470" i="3"/>
  <c r="S470" i="3"/>
  <c r="R470" i="3"/>
  <c r="B470" i="3"/>
  <c r="V469" i="3"/>
  <c r="U469" i="3"/>
  <c r="T469" i="3"/>
  <c r="S469" i="3"/>
  <c r="R469" i="3"/>
  <c r="B469" i="3"/>
  <c r="V468" i="3"/>
  <c r="U468" i="3"/>
  <c r="T468" i="3"/>
  <c r="S468" i="3"/>
  <c r="R468" i="3"/>
  <c r="B468" i="3"/>
  <c r="V467" i="3"/>
  <c r="U467" i="3"/>
  <c r="T467" i="3"/>
  <c r="S467" i="3"/>
  <c r="R467" i="3"/>
  <c r="B467" i="3"/>
  <c r="V466" i="3"/>
  <c r="U466" i="3"/>
  <c r="T466" i="3"/>
  <c r="S466" i="3"/>
  <c r="R466" i="3"/>
  <c r="B466" i="3"/>
  <c r="V465" i="3"/>
  <c r="U465" i="3"/>
  <c r="T465" i="3"/>
  <c r="S465" i="3"/>
  <c r="R465" i="3"/>
  <c r="B465" i="3"/>
  <c r="V464" i="3"/>
  <c r="U464" i="3"/>
  <c r="T464" i="3"/>
  <c r="S464" i="3"/>
  <c r="R464" i="3"/>
  <c r="B464" i="3"/>
  <c r="V463" i="3"/>
  <c r="U463" i="3"/>
  <c r="T463" i="3"/>
  <c r="S463" i="3"/>
  <c r="R463" i="3"/>
  <c r="B463" i="3"/>
  <c r="V462" i="3"/>
  <c r="U462" i="3"/>
  <c r="T462" i="3"/>
  <c r="S462" i="3"/>
  <c r="R462" i="3"/>
  <c r="B462" i="3"/>
  <c r="V461" i="3"/>
  <c r="U461" i="3"/>
  <c r="T461" i="3"/>
  <c r="S461" i="3"/>
  <c r="R461" i="3"/>
  <c r="B461" i="3"/>
  <c r="V460" i="3"/>
  <c r="U460" i="3"/>
  <c r="T460" i="3"/>
  <c r="S460" i="3"/>
  <c r="R460" i="3"/>
  <c r="B460" i="3"/>
  <c r="V459" i="3"/>
  <c r="U459" i="3"/>
  <c r="T459" i="3"/>
  <c r="S459" i="3"/>
  <c r="R459" i="3"/>
  <c r="B459" i="3"/>
  <c r="V458" i="3"/>
  <c r="U458" i="3"/>
  <c r="T458" i="3"/>
  <c r="S458" i="3"/>
  <c r="R458" i="3"/>
  <c r="B458" i="3"/>
  <c r="V457" i="3"/>
  <c r="U457" i="3"/>
  <c r="T457" i="3"/>
  <c r="S457" i="3"/>
  <c r="R457" i="3"/>
  <c r="B457" i="3"/>
  <c r="V456" i="3"/>
  <c r="U456" i="3"/>
  <c r="T456" i="3"/>
  <c r="S456" i="3"/>
  <c r="R456" i="3"/>
  <c r="B456" i="3"/>
  <c r="V455" i="3"/>
  <c r="U455" i="3"/>
  <c r="T455" i="3"/>
  <c r="S455" i="3"/>
  <c r="R455" i="3"/>
  <c r="B455" i="3"/>
  <c r="V454" i="3"/>
  <c r="U454" i="3"/>
  <c r="T454" i="3"/>
  <c r="S454" i="3"/>
  <c r="R454" i="3"/>
  <c r="B454" i="3"/>
  <c r="V453" i="3"/>
  <c r="U453" i="3"/>
  <c r="T453" i="3"/>
  <c r="S453" i="3"/>
  <c r="R453" i="3"/>
  <c r="B453" i="3"/>
  <c r="V452" i="3"/>
  <c r="U452" i="3"/>
  <c r="T452" i="3"/>
  <c r="S452" i="3"/>
  <c r="R452" i="3"/>
  <c r="B452" i="3"/>
  <c r="V451" i="3"/>
  <c r="U451" i="3"/>
  <c r="T451" i="3"/>
  <c r="S451" i="3"/>
  <c r="R451" i="3"/>
  <c r="B451" i="3"/>
  <c r="V450" i="3"/>
  <c r="U450" i="3"/>
  <c r="T450" i="3"/>
  <c r="S450" i="3"/>
  <c r="R450" i="3"/>
  <c r="B450" i="3"/>
  <c r="V449" i="3"/>
  <c r="U449" i="3"/>
  <c r="T449" i="3"/>
  <c r="S449" i="3"/>
  <c r="R449" i="3"/>
  <c r="B449" i="3"/>
  <c r="V448" i="3"/>
  <c r="U448" i="3"/>
  <c r="T448" i="3"/>
  <c r="S448" i="3"/>
  <c r="R448" i="3"/>
  <c r="B448" i="3"/>
  <c r="V447" i="3"/>
  <c r="U447" i="3"/>
  <c r="T447" i="3"/>
  <c r="S447" i="3"/>
  <c r="R447" i="3"/>
  <c r="B447" i="3"/>
  <c r="V446" i="3"/>
  <c r="U446" i="3"/>
  <c r="T446" i="3"/>
  <c r="S446" i="3"/>
  <c r="R446" i="3"/>
  <c r="B446" i="3"/>
  <c r="V445" i="3"/>
  <c r="U445" i="3"/>
  <c r="T445" i="3"/>
  <c r="S445" i="3"/>
  <c r="R445" i="3"/>
  <c r="B445" i="3"/>
  <c r="V444" i="3"/>
  <c r="U444" i="3"/>
  <c r="T444" i="3"/>
  <c r="S444" i="3"/>
  <c r="R444" i="3"/>
  <c r="B444" i="3"/>
  <c r="V443" i="3"/>
  <c r="U443" i="3"/>
  <c r="T443" i="3"/>
  <c r="S443" i="3"/>
  <c r="R443" i="3"/>
  <c r="B443" i="3"/>
  <c r="V442" i="3"/>
  <c r="U442" i="3"/>
  <c r="T442" i="3"/>
  <c r="S442" i="3"/>
  <c r="R442" i="3"/>
  <c r="B442" i="3"/>
  <c r="V441" i="3"/>
  <c r="U441" i="3"/>
  <c r="T441" i="3"/>
  <c r="S441" i="3"/>
  <c r="R441" i="3"/>
  <c r="B441" i="3"/>
  <c r="V440" i="3"/>
  <c r="U440" i="3"/>
  <c r="T440" i="3"/>
  <c r="S440" i="3"/>
  <c r="R440" i="3"/>
  <c r="B440" i="3"/>
  <c r="V439" i="3"/>
  <c r="U439" i="3"/>
  <c r="T439" i="3"/>
  <c r="S439" i="3"/>
  <c r="R439" i="3"/>
  <c r="B439" i="3"/>
  <c r="V438" i="3"/>
  <c r="U438" i="3"/>
  <c r="T438" i="3"/>
  <c r="S438" i="3"/>
  <c r="R438" i="3"/>
  <c r="B438" i="3"/>
  <c r="V437" i="3"/>
  <c r="U437" i="3"/>
  <c r="T437" i="3"/>
  <c r="S437" i="3"/>
  <c r="R437" i="3"/>
  <c r="B437" i="3"/>
  <c r="V436" i="3"/>
  <c r="U436" i="3"/>
  <c r="T436" i="3"/>
  <c r="S436" i="3"/>
  <c r="R436" i="3"/>
  <c r="B436" i="3"/>
  <c r="V435" i="3"/>
  <c r="U435" i="3"/>
  <c r="T435" i="3"/>
  <c r="S435" i="3"/>
  <c r="R435" i="3"/>
  <c r="B435" i="3"/>
  <c r="V434" i="3"/>
  <c r="U434" i="3"/>
  <c r="T434" i="3"/>
  <c r="S434" i="3"/>
  <c r="R434" i="3"/>
  <c r="B434" i="3"/>
  <c r="V433" i="3"/>
  <c r="U433" i="3"/>
  <c r="T433" i="3"/>
  <c r="S433" i="3"/>
  <c r="R433" i="3"/>
  <c r="B433" i="3"/>
  <c r="V432" i="3"/>
  <c r="U432" i="3"/>
  <c r="T432" i="3"/>
  <c r="S432" i="3"/>
  <c r="R432" i="3"/>
  <c r="B432" i="3"/>
  <c r="V431" i="3"/>
  <c r="U431" i="3"/>
  <c r="T431" i="3"/>
  <c r="S431" i="3"/>
  <c r="R431" i="3"/>
  <c r="B431" i="3"/>
  <c r="V430" i="3"/>
  <c r="U430" i="3"/>
  <c r="T430" i="3"/>
  <c r="S430" i="3"/>
  <c r="R430" i="3"/>
  <c r="B430" i="3"/>
  <c r="V429" i="3"/>
  <c r="U429" i="3"/>
  <c r="T429" i="3"/>
  <c r="S429" i="3"/>
  <c r="R429" i="3"/>
  <c r="B429" i="3"/>
  <c r="V428" i="3"/>
  <c r="U428" i="3"/>
  <c r="T428" i="3"/>
  <c r="S428" i="3"/>
  <c r="R428" i="3"/>
  <c r="B428" i="3"/>
  <c r="V427" i="3"/>
  <c r="U427" i="3"/>
  <c r="T427" i="3"/>
  <c r="S427" i="3"/>
  <c r="R427" i="3"/>
  <c r="B427" i="3"/>
  <c r="V426" i="3"/>
  <c r="U426" i="3"/>
  <c r="T426" i="3"/>
  <c r="S426" i="3"/>
  <c r="R426" i="3"/>
  <c r="B426" i="3"/>
  <c r="V425" i="3"/>
  <c r="U425" i="3"/>
  <c r="T425" i="3"/>
  <c r="S425" i="3"/>
  <c r="R425" i="3"/>
  <c r="B425" i="3"/>
  <c r="V424" i="3"/>
  <c r="U424" i="3"/>
  <c r="T424" i="3"/>
  <c r="S424" i="3"/>
  <c r="R424" i="3"/>
  <c r="B424" i="3"/>
  <c r="V423" i="3"/>
  <c r="U423" i="3"/>
  <c r="T423" i="3"/>
  <c r="S423" i="3"/>
  <c r="R423" i="3"/>
  <c r="B423" i="3"/>
  <c r="V422" i="3"/>
  <c r="U422" i="3"/>
  <c r="T422" i="3"/>
  <c r="S422" i="3"/>
  <c r="R422" i="3"/>
  <c r="B422" i="3"/>
  <c r="V421" i="3"/>
  <c r="U421" i="3"/>
  <c r="T421" i="3"/>
  <c r="S421" i="3"/>
  <c r="R421" i="3"/>
  <c r="B421" i="3"/>
  <c r="V420" i="3"/>
  <c r="U420" i="3"/>
  <c r="T420" i="3"/>
  <c r="S420" i="3"/>
  <c r="R420" i="3"/>
  <c r="B420" i="3"/>
  <c r="V419" i="3"/>
  <c r="U419" i="3"/>
  <c r="T419" i="3"/>
  <c r="S419" i="3"/>
  <c r="R419" i="3"/>
  <c r="B419" i="3"/>
  <c r="V418" i="3"/>
  <c r="U418" i="3"/>
  <c r="T418" i="3"/>
  <c r="S418" i="3"/>
  <c r="R418" i="3"/>
  <c r="B418" i="3"/>
  <c r="V417" i="3"/>
  <c r="U417" i="3"/>
  <c r="T417" i="3"/>
  <c r="S417" i="3"/>
  <c r="R417" i="3"/>
  <c r="B417" i="3"/>
  <c r="V416" i="3"/>
  <c r="U416" i="3"/>
  <c r="T416" i="3"/>
  <c r="S416" i="3"/>
  <c r="R416" i="3"/>
  <c r="B416" i="3"/>
  <c r="V415" i="3"/>
  <c r="U415" i="3"/>
  <c r="T415" i="3"/>
  <c r="S415" i="3"/>
  <c r="R415" i="3"/>
  <c r="B415" i="3"/>
  <c r="V414" i="3"/>
  <c r="U414" i="3"/>
  <c r="T414" i="3"/>
  <c r="S414" i="3"/>
  <c r="R414" i="3"/>
  <c r="B414" i="3"/>
  <c r="V413" i="3"/>
  <c r="U413" i="3"/>
  <c r="T413" i="3"/>
  <c r="S413" i="3"/>
  <c r="R413" i="3"/>
  <c r="B413" i="3"/>
  <c r="V412" i="3"/>
  <c r="U412" i="3"/>
  <c r="T412" i="3"/>
  <c r="S412" i="3"/>
  <c r="R412" i="3"/>
  <c r="B412" i="3"/>
  <c r="V411" i="3"/>
  <c r="U411" i="3"/>
  <c r="T411" i="3"/>
  <c r="S411" i="3"/>
  <c r="R411" i="3"/>
  <c r="B411" i="3"/>
  <c r="V410" i="3"/>
  <c r="U410" i="3"/>
  <c r="T410" i="3"/>
  <c r="S410" i="3"/>
  <c r="R410" i="3"/>
  <c r="B410" i="3"/>
  <c r="V409" i="3"/>
  <c r="U409" i="3"/>
  <c r="T409" i="3"/>
  <c r="S409" i="3"/>
  <c r="R409" i="3"/>
  <c r="B409" i="3"/>
  <c r="V408" i="3"/>
  <c r="U408" i="3"/>
  <c r="T408" i="3"/>
  <c r="S408" i="3"/>
  <c r="R408" i="3"/>
  <c r="B408" i="3"/>
  <c r="V407" i="3"/>
  <c r="U407" i="3"/>
  <c r="T407" i="3"/>
  <c r="S407" i="3"/>
  <c r="R407" i="3"/>
  <c r="B407" i="3"/>
  <c r="V406" i="3"/>
  <c r="U406" i="3"/>
  <c r="T406" i="3"/>
  <c r="S406" i="3"/>
  <c r="R406" i="3"/>
  <c r="B406" i="3"/>
  <c r="V405" i="3"/>
  <c r="U405" i="3"/>
  <c r="T405" i="3"/>
  <c r="S405" i="3"/>
  <c r="R405" i="3"/>
  <c r="B405" i="3"/>
  <c r="V404" i="3"/>
  <c r="U404" i="3"/>
  <c r="T404" i="3"/>
  <c r="S404" i="3"/>
  <c r="R404" i="3"/>
  <c r="B404" i="3"/>
  <c r="V403" i="3"/>
  <c r="U403" i="3"/>
  <c r="T403" i="3"/>
  <c r="S403" i="3"/>
  <c r="R403" i="3"/>
  <c r="B403" i="3"/>
  <c r="V402" i="3"/>
  <c r="U402" i="3"/>
  <c r="T402" i="3"/>
  <c r="S402" i="3"/>
  <c r="R402" i="3"/>
  <c r="B402" i="3"/>
  <c r="V401" i="3"/>
  <c r="U401" i="3"/>
  <c r="T401" i="3"/>
  <c r="S401" i="3"/>
  <c r="R401" i="3"/>
  <c r="B401" i="3"/>
  <c r="V400" i="3"/>
  <c r="U400" i="3"/>
  <c r="T400" i="3"/>
  <c r="S400" i="3"/>
  <c r="R400" i="3"/>
  <c r="B400" i="3"/>
  <c r="V399" i="3"/>
  <c r="U399" i="3"/>
  <c r="T399" i="3"/>
  <c r="S399" i="3"/>
  <c r="R399" i="3"/>
  <c r="B399" i="3"/>
  <c r="V398" i="3"/>
  <c r="U398" i="3"/>
  <c r="T398" i="3"/>
  <c r="S398" i="3"/>
  <c r="R398" i="3"/>
  <c r="B398" i="3"/>
  <c r="V397" i="3"/>
  <c r="U397" i="3"/>
  <c r="T397" i="3"/>
  <c r="S397" i="3"/>
  <c r="R397" i="3"/>
  <c r="B397" i="3"/>
  <c r="V396" i="3"/>
  <c r="U396" i="3"/>
  <c r="T396" i="3"/>
  <c r="S396" i="3"/>
  <c r="R396" i="3"/>
  <c r="B396" i="3"/>
  <c r="V395" i="3"/>
  <c r="U395" i="3"/>
  <c r="T395" i="3"/>
  <c r="S395" i="3"/>
  <c r="R395" i="3"/>
  <c r="B395" i="3"/>
  <c r="V394" i="3"/>
  <c r="U394" i="3"/>
  <c r="T394" i="3"/>
  <c r="S394" i="3"/>
  <c r="R394" i="3"/>
  <c r="B394" i="3"/>
  <c r="V393" i="3"/>
  <c r="U393" i="3"/>
  <c r="T393" i="3"/>
  <c r="S393" i="3"/>
  <c r="R393" i="3"/>
  <c r="B393" i="3"/>
  <c r="V392" i="3"/>
  <c r="U392" i="3"/>
  <c r="T392" i="3"/>
  <c r="S392" i="3"/>
  <c r="R392" i="3"/>
  <c r="B392" i="3"/>
  <c r="V391" i="3"/>
  <c r="U391" i="3"/>
  <c r="T391" i="3"/>
  <c r="S391" i="3"/>
  <c r="R391" i="3"/>
  <c r="B391" i="3"/>
  <c r="V390" i="3"/>
  <c r="U390" i="3"/>
  <c r="T390" i="3"/>
  <c r="S390" i="3"/>
  <c r="R390" i="3"/>
  <c r="B390" i="3"/>
  <c r="V389" i="3"/>
  <c r="U389" i="3"/>
  <c r="T389" i="3"/>
  <c r="S389" i="3"/>
  <c r="R389" i="3"/>
  <c r="B389" i="3"/>
  <c r="V388" i="3"/>
  <c r="U388" i="3"/>
  <c r="T388" i="3"/>
  <c r="S388" i="3"/>
  <c r="R388" i="3"/>
  <c r="B388" i="3"/>
  <c r="V387" i="3"/>
  <c r="U387" i="3"/>
  <c r="T387" i="3"/>
  <c r="S387" i="3"/>
  <c r="R387" i="3"/>
  <c r="B387" i="3"/>
  <c r="V386" i="3"/>
  <c r="U386" i="3"/>
  <c r="T386" i="3"/>
  <c r="S386" i="3"/>
  <c r="R386" i="3"/>
  <c r="B386" i="3"/>
  <c r="V385" i="3"/>
  <c r="U385" i="3"/>
  <c r="T385" i="3"/>
  <c r="S385" i="3"/>
  <c r="R385" i="3"/>
  <c r="B385" i="3"/>
  <c r="V384" i="3"/>
  <c r="U384" i="3"/>
  <c r="T384" i="3"/>
  <c r="S384" i="3"/>
  <c r="R384" i="3"/>
  <c r="B384" i="3"/>
  <c r="V383" i="3"/>
  <c r="U383" i="3"/>
  <c r="T383" i="3"/>
  <c r="S383" i="3"/>
  <c r="R383" i="3"/>
  <c r="B383" i="3"/>
  <c r="V382" i="3"/>
  <c r="U382" i="3"/>
  <c r="T382" i="3"/>
  <c r="S382" i="3"/>
  <c r="R382" i="3"/>
  <c r="B382" i="3"/>
  <c r="V381" i="3"/>
  <c r="U381" i="3"/>
  <c r="T381" i="3"/>
  <c r="S381" i="3"/>
  <c r="R381" i="3"/>
  <c r="B381" i="3"/>
  <c r="V380" i="3"/>
  <c r="U380" i="3"/>
  <c r="T380" i="3"/>
  <c r="S380" i="3"/>
  <c r="R380" i="3"/>
  <c r="B380" i="3"/>
  <c r="V379" i="3"/>
  <c r="U379" i="3"/>
  <c r="T379" i="3"/>
  <c r="S379" i="3"/>
  <c r="R379" i="3"/>
  <c r="B379" i="3"/>
  <c r="V378" i="3"/>
  <c r="U378" i="3"/>
  <c r="T378" i="3"/>
  <c r="S378" i="3"/>
  <c r="R378" i="3"/>
  <c r="B378" i="3"/>
  <c r="V377" i="3"/>
  <c r="U377" i="3"/>
  <c r="T377" i="3"/>
  <c r="S377" i="3"/>
  <c r="R377" i="3"/>
  <c r="B377" i="3"/>
  <c r="V376" i="3"/>
  <c r="U376" i="3"/>
  <c r="T376" i="3"/>
  <c r="S376" i="3"/>
  <c r="R376" i="3"/>
  <c r="B376" i="3"/>
  <c r="V375" i="3"/>
  <c r="U375" i="3"/>
  <c r="T375" i="3"/>
  <c r="S375" i="3"/>
  <c r="R375" i="3"/>
  <c r="B375" i="3"/>
  <c r="V374" i="3"/>
  <c r="U374" i="3"/>
  <c r="T374" i="3"/>
  <c r="S374" i="3"/>
  <c r="R374" i="3"/>
  <c r="B374" i="3"/>
  <c r="V373" i="3"/>
  <c r="U373" i="3"/>
  <c r="T373" i="3"/>
  <c r="S373" i="3"/>
  <c r="R373" i="3"/>
  <c r="B373" i="3"/>
  <c r="V372" i="3"/>
  <c r="U372" i="3"/>
  <c r="T372" i="3"/>
  <c r="S372" i="3"/>
  <c r="R372" i="3"/>
  <c r="B372" i="3"/>
  <c r="V371" i="3"/>
  <c r="U371" i="3"/>
  <c r="T371" i="3"/>
  <c r="S371" i="3"/>
  <c r="R371" i="3"/>
  <c r="B371" i="3"/>
  <c r="V370" i="3"/>
  <c r="U370" i="3"/>
  <c r="T370" i="3"/>
  <c r="S370" i="3"/>
  <c r="R370" i="3"/>
  <c r="B370" i="3"/>
  <c r="V369" i="3"/>
  <c r="U369" i="3"/>
  <c r="T369" i="3"/>
  <c r="S369" i="3"/>
  <c r="R369" i="3"/>
  <c r="B369" i="3"/>
  <c r="V368" i="3"/>
  <c r="U368" i="3"/>
  <c r="T368" i="3"/>
  <c r="S368" i="3"/>
  <c r="R368" i="3"/>
  <c r="B368" i="3"/>
  <c r="V367" i="3"/>
  <c r="U367" i="3"/>
  <c r="T367" i="3"/>
  <c r="S367" i="3"/>
  <c r="R367" i="3"/>
  <c r="B367" i="3"/>
  <c r="V366" i="3"/>
  <c r="U366" i="3"/>
  <c r="T366" i="3"/>
  <c r="S366" i="3"/>
  <c r="R366" i="3"/>
  <c r="B366" i="3"/>
  <c r="V365" i="3"/>
  <c r="U365" i="3"/>
  <c r="T365" i="3"/>
  <c r="S365" i="3"/>
  <c r="R365" i="3"/>
  <c r="B365" i="3"/>
  <c r="V364" i="3"/>
  <c r="U364" i="3"/>
  <c r="T364" i="3"/>
  <c r="S364" i="3"/>
  <c r="R364" i="3"/>
  <c r="B364" i="3"/>
  <c r="V363" i="3"/>
  <c r="U363" i="3"/>
  <c r="T363" i="3"/>
  <c r="S363" i="3"/>
  <c r="R363" i="3"/>
  <c r="B363" i="3"/>
  <c r="V362" i="3"/>
  <c r="U362" i="3"/>
  <c r="T362" i="3"/>
  <c r="S362" i="3"/>
  <c r="R362" i="3"/>
  <c r="B362" i="3"/>
  <c r="V361" i="3"/>
  <c r="U361" i="3"/>
  <c r="T361" i="3"/>
  <c r="S361" i="3"/>
  <c r="R361" i="3"/>
  <c r="B361" i="3"/>
  <c r="V360" i="3"/>
  <c r="U360" i="3"/>
  <c r="T360" i="3"/>
  <c r="S360" i="3"/>
  <c r="R360" i="3"/>
  <c r="B360" i="3"/>
  <c r="V359" i="3"/>
  <c r="U359" i="3"/>
  <c r="T359" i="3"/>
  <c r="S359" i="3"/>
  <c r="R359" i="3"/>
  <c r="B359" i="3"/>
  <c r="V358" i="3"/>
  <c r="U358" i="3"/>
  <c r="T358" i="3"/>
  <c r="S358" i="3"/>
  <c r="R358" i="3"/>
  <c r="B358" i="3"/>
  <c r="V357" i="3"/>
  <c r="U357" i="3"/>
  <c r="T357" i="3"/>
  <c r="S357" i="3"/>
  <c r="R357" i="3"/>
  <c r="B357" i="3"/>
  <c r="V356" i="3"/>
  <c r="U356" i="3"/>
  <c r="T356" i="3"/>
  <c r="S356" i="3"/>
  <c r="R356" i="3"/>
  <c r="B356" i="3"/>
  <c r="V355" i="3"/>
  <c r="U355" i="3"/>
  <c r="T355" i="3"/>
  <c r="S355" i="3"/>
  <c r="R355" i="3"/>
  <c r="B355" i="3"/>
  <c r="V354" i="3"/>
  <c r="U354" i="3"/>
  <c r="T354" i="3"/>
  <c r="S354" i="3"/>
  <c r="R354" i="3"/>
  <c r="B354" i="3"/>
  <c r="V353" i="3"/>
  <c r="U353" i="3"/>
  <c r="T353" i="3"/>
  <c r="S353" i="3"/>
  <c r="R353" i="3"/>
  <c r="B353" i="3"/>
  <c r="V352" i="3"/>
  <c r="U352" i="3"/>
  <c r="T352" i="3"/>
  <c r="S352" i="3"/>
  <c r="R352" i="3"/>
  <c r="B352" i="3"/>
  <c r="V351" i="3"/>
  <c r="U351" i="3"/>
  <c r="T351" i="3"/>
  <c r="S351" i="3"/>
  <c r="R351" i="3"/>
  <c r="B351" i="3"/>
  <c r="V350" i="3"/>
  <c r="U350" i="3"/>
  <c r="T350" i="3"/>
  <c r="S350" i="3"/>
  <c r="R350" i="3"/>
  <c r="B350" i="3"/>
  <c r="V349" i="3"/>
  <c r="U349" i="3"/>
  <c r="T349" i="3"/>
  <c r="S349" i="3"/>
  <c r="R349" i="3"/>
  <c r="B349" i="3"/>
  <c r="V348" i="3"/>
  <c r="U348" i="3"/>
  <c r="T348" i="3"/>
  <c r="S348" i="3"/>
  <c r="R348" i="3"/>
  <c r="B348" i="3"/>
  <c r="V347" i="3"/>
  <c r="U347" i="3"/>
  <c r="T347" i="3"/>
  <c r="S347" i="3"/>
  <c r="R347" i="3"/>
  <c r="B347" i="3"/>
  <c r="V346" i="3"/>
  <c r="U346" i="3"/>
  <c r="T346" i="3"/>
  <c r="S346" i="3"/>
  <c r="R346" i="3"/>
  <c r="B346" i="3"/>
  <c r="V345" i="3"/>
  <c r="U345" i="3"/>
  <c r="T345" i="3"/>
  <c r="S345" i="3"/>
  <c r="R345" i="3"/>
  <c r="B345" i="3"/>
  <c r="V344" i="3"/>
  <c r="U344" i="3"/>
  <c r="T344" i="3"/>
  <c r="S344" i="3"/>
  <c r="R344" i="3"/>
  <c r="B344" i="3"/>
  <c r="V343" i="3"/>
  <c r="U343" i="3"/>
  <c r="T343" i="3"/>
  <c r="S343" i="3"/>
  <c r="R343" i="3"/>
  <c r="B343" i="3"/>
  <c r="V342" i="3"/>
  <c r="U342" i="3"/>
  <c r="T342" i="3"/>
  <c r="S342" i="3"/>
  <c r="R342" i="3"/>
  <c r="B342" i="3"/>
  <c r="V341" i="3"/>
  <c r="U341" i="3"/>
  <c r="T341" i="3"/>
  <c r="S341" i="3"/>
  <c r="R341" i="3"/>
  <c r="B341" i="3"/>
  <c r="V340" i="3"/>
  <c r="U340" i="3"/>
  <c r="T340" i="3"/>
  <c r="S340" i="3"/>
  <c r="R340" i="3"/>
  <c r="B340" i="3"/>
  <c r="V339" i="3"/>
  <c r="U339" i="3"/>
  <c r="T339" i="3"/>
  <c r="S339" i="3"/>
  <c r="R339" i="3"/>
  <c r="B339" i="3"/>
  <c r="V338" i="3"/>
  <c r="U338" i="3"/>
  <c r="T338" i="3"/>
  <c r="S338" i="3"/>
  <c r="R338" i="3"/>
  <c r="B338" i="3"/>
  <c r="V337" i="3"/>
  <c r="U337" i="3"/>
  <c r="T337" i="3"/>
  <c r="S337" i="3"/>
  <c r="R337" i="3"/>
  <c r="B337" i="3"/>
  <c r="V336" i="3"/>
  <c r="U336" i="3"/>
  <c r="T336" i="3"/>
  <c r="S336" i="3"/>
  <c r="R336" i="3"/>
  <c r="B336" i="3"/>
  <c r="V335" i="3"/>
  <c r="U335" i="3"/>
  <c r="T335" i="3"/>
  <c r="S335" i="3"/>
  <c r="R335" i="3"/>
  <c r="B335" i="3"/>
  <c r="V334" i="3"/>
  <c r="U334" i="3"/>
  <c r="T334" i="3"/>
  <c r="S334" i="3"/>
  <c r="R334" i="3"/>
  <c r="B334" i="3"/>
  <c r="V333" i="3"/>
  <c r="U333" i="3"/>
  <c r="T333" i="3"/>
  <c r="S333" i="3"/>
  <c r="R333" i="3"/>
  <c r="B333" i="3"/>
  <c r="V332" i="3"/>
  <c r="U332" i="3"/>
  <c r="T332" i="3"/>
  <c r="S332" i="3"/>
  <c r="R332" i="3"/>
  <c r="B332" i="3"/>
  <c r="V331" i="3"/>
  <c r="U331" i="3"/>
  <c r="T331" i="3"/>
  <c r="S331" i="3"/>
  <c r="R331" i="3"/>
  <c r="B331" i="3"/>
  <c r="V330" i="3"/>
  <c r="U330" i="3"/>
  <c r="T330" i="3"/>
  <c r="S330" i="3"/>
  <c r="R330" i="3"/>
  <c r="B330" i="3"/>
  <c r="V329" i="3"/>
  <c r="U329" i="3"/>
  <c r="T329" i="3"/>
  <c r="S329" i="3"/>
  <c r="R329" i="3"/>
  <c r="B329" i="3"/>
  <c r="V328" i="3"/>
  <c r="U328" i="3"/>
  <c r="T328" i="3"/>
  <c r="S328" i="3"/>
  <c r="R328" i="3"/>
  <c r="B328" i="3"/>
  <c r="V327" i="3"/>
  <c r="U327" i="3"/>
  <c r="T327" i="3"/>
  <c r="S327" i="3"/>
  <c r="R327" i="3"/>
  <c r="B327" i="3"/>
  <c r="V326" i="3"/>
  <c r="U326" i="3"/>
  <c r="T326" i="3"/>
  <c r="S326" i="3"/>
  <c r="R326" i="3"/>
  <c r="B326" i="3"/>
  <c r="V325" i="3"/>
  <c r="U325" i="3"/>
  <c r="T325" i="3"/>
  <c r="S325" i="3"/>
  <c r="R325" i="3"/>
  <c r="B325" i="3"/>
  <c r="V324" i="3"/>
  <c r="U324" i="3"/>
  <c r="T324" i="3"/>
  <c r="S324" i="3"/>
  <c r="R324" i="3"/>
  <c r="B324" i="3"/>
  <c r="V323" i="3"/>
  <c r="U323" i="3"/>
  <c r="T323" i="3"/>
  <c r="S323" i="3"/>
  <c r="R323" i="3"/>
  <c r="B323" i="3"/>
  <c r="V322" i="3"/>
  <c r="U322" i="3"/>
  <c r="T322" i="3"/>
  <c r="S322" i="3"/>
  <c r="R322" i="3"/>
  <c r="B322" i="3"/>
  <c r="V321" i="3"/>
  <c r="U321" i="3"/>
  <c r="T321" i="3"/>
  <c r="S321" i="3"/>
  <c r="R321" i="3"/>
  <c r="B321" i="3"/>
  <c r="V320" i="3"/>
  <c r="U320" i="3"/>
  <c r="T320" i="3"/>
  <c r="S320" i="3"/>
  <c r="R320" i="3"/>
  <c r="B320" i="3"/>
  <c r="V319" i="3"/>
  <c r="U319" i="3"/>
  <c r="T319" i="3"/>
  <c r="S319" i="3"/>
  <c r="R319" i="3"/>
  <c r="B319" i="3"/>
  <c r="V318" i="3"/>
  <c r="U318" i="3"/>
  <c r="T318" i="3"/>
  <c r="S318" i="3"/>
  <c r="R318" i="3"/>
  <c r="B318" i="3"/>
  <c r="V317" i="3"/>
  <c r="U317" i="3"/>
  <c r="T317" i="3"/>
  <c r="S317" i="3"/>
  <c r="R317" i="3"/>
  <c r="B317" i="3"/>
  <c r="V316" i="3"/>
  <c r="U316" i="3"/>
  <c r="T316" i="3"/>
  <c r="S316" i="3"/>
  <c r="R316" i="3"/>
  <c r="B316" i="3"/>
  <c r="V315" i="3"/>
  <c r="U315" i="3"/>
  <c r="T315" i="3"/>
  <c r="S315" i="3"/>
  <c r="R315" i="3"/>
  <c r="B315" i="3"/>
  <c r="V314" i="3"/>
  <c r="U314" i="3"/>
  <c r="T314" i="3"/>
  <c r="S314" i="3"/>
  <c r="R314" i="3"/>
  <c r="B314" i="3"/>
  <c r="V313" i="3"/>
  <c r="U313" i="3"/>
  <c r="T313" i="3"/>
  <c r="S313" i="3"/>
  <c r="R313" i="3"/>
  <c r="B313" i="3"/>
  <c r="V312" i="3"/>
  <c r="U312" i="3"/>
  <c r="T312" i="3"/>
  <c r="S312" i="3"/>
  <c r="R312" i="3"/>
  <c r="B312" i="3"/>
  <c r="V311" i="3"/>
  <c r="U311" i="3"/>
  <c r="T311" i="3"/>
  <c r="S311" i="3"/>
  <c r="R311" i="3"/>
  <c r="B311" i="3"/>
  <c r="V310" i="3"/>
  <c r="U310" i="3"/>
  <c r="T310" i="3"/>
  <c r="S310" i="3"/>
  <c r="R310" i="3"/>
  <c r="B310" i="3"/>
  <c r="V309" i="3"/>
  <c r="U309" i="3"/>
  <c r="T309" i="3"/>
  <c r="S309" i="3"/>
  <c r="R309" i="3"/>
  <c r="B309" i="3"/>
  <c r="V308" i="3"/>
  <c r="U308" i="3"/>
  <c r="T308" i="3"/>
  <c r="S308" i="3"/>
  <c r="R308" i="3"/>
  <c r="B308" i="3"/>
  <c r="V307" i="3"/>
  <c r="U307" i="3"/>
  <c r="T307" i="3"/>
  <c r="S307" i="3"/>
  <c r="R307" i="3"/>
  <c r="B307" i="3"/>
  <c r="V306" i="3"/>
  <c r="U306" i="3"/>
  <c r="T306" i="3"/>
  <c r="S306" i="3"/>
  <c r="R306" i="3"/>
  <c r="B306" i="3"/>
  <c r="V305" i="3"/>
  <c r="U305" i="3"/>
  <c r="T305" i="3"/>
  <c r="S305" i="3"/>
  <c r="R305" i="3"/>
  <c r="B305" i="3"/>
  <c r="V304" i="3"/>
  <c r="U304" i="3"/>
  <c r="T304" i="3"/>
  <c r="S304" i="3"/>
  <c r="R304" i="3"/>
  <c r="B304" i="3"/>
  <c r="V303" i="3"/>
  <c r="U303" i="3"/>
  <c r="T303" i="3"/>
  <c r="S303" i="3"/>
  <c r="R303" i="3"/>
  <c r="B303" i="3"/>
  <c r="V302" i="3"/>
  <c r="U302" i="3"/>
  <c r="T302" i="3"/>
  <c r="S302" i="3"/>
  <c r="R302" i="3"/>
  <c r="B302" i="3"/>
  <c r="V301" i="3"/>
  <c r="U301" i="3"/>
  <c r="T301" i="3"/>
  <c r="S301" i="3"/>
  <c r="R301" i="3"/>
  <c r="B301" i="3"/>
  <c r="V300" i="3"/>
  <c r="U300" i="3"/>
  <c r="T300" i="3"/>
  <c r="S300" i="3"/>
  <c r="R300" i="3"/>
  <c r="B300" i="3"/>
  <c r="V299" i="3"/>
  <c r="U299" i="3"/>
  <c r="T299" i="3"/>
  <c r="S299" i="3"/>
  <c r="R299" i="3"/>
  <c r="B299" i="3"/>
  <c r="V298" i="3"/>
  <c r="U298" i="3"/>
  <c r="T298" i="3"/>
  <c r="S298" i="3"/>
  <c r="R298" i="3"/>
  <c r="B298" i="3"/>
  <c r="V297" i="3"/>
  <c r="U297" i="3"/>
  <c r="T297" i="3"/>
  <c r="S297" i="3"/>
  <c r="R297" i="3"/>
  <c r="B297" i="3"/>
  <c r="V296" i="3"/>
  <c r="U296" i="3"/>
  <c r="T296" i="3"/>
  <c r="S296" i="3"/>
  <c r="R296" i="3"/>
  <c r="B296" i="3"/>
  <c r="V295" i="3"/>
  <c r="U295" i="3"/>
  <c r="T295" i="3"/>
  <c r="S295" i="3"/>
  <c r="R295" i="3"/>
  <c r="B295" i="3"/>
  <c r="V294" i="3"/>
  <c r="U294" i="3"/>
  <c r="T294" i="3"/>
  <c r="S294" i="3"/>
  <c r="R294" i="3"/>
  <c r="B294" i="3"/>
  <c r="V293" i="3"/>
  <c r="U293" i="3"/>
  <c r="T293" i="3"/>
  <c r="S293" i="3"/>
  <c r="R293" i="3"/>
  <c r="B293" i="3"/>
  <c r="V292" i="3"/>
  <c r="U292" i="3"/>
  <c r="T292" i="3"/>
  <c r="S292" i="3"/>
  <c r="R292" i="3"/>
  <c r="B292" i="3"/>
  <c r="V291" i="3"/>
  <c r="U291" i="3"/>
  <c r="T291" i="3"/>
  <c r="S291" i="3"/>
  <c r="R291" i="3"/>
  <c r="B291" i="3"/>
  <c r="V290" i="3"/>
  <c r="U290" i="3"/>
  <c r="T290" i="3"/>
  <c r="S290" i="3"/>
  <c r="R290" i="3"/>
  <c r="B290" i="3"/>
  <c r="V289" i="3"/>
  <c r="U289" i="3"/>
  <c r="T289" i="3"/>
  <c r="S289" i="3"/>
  <c r="R289" i="3"/>
  <c r="B289" i="3"/>
  <c r="V288" i="3"/>
  <c r="U288" i="3"/>
  <c r="T288" i="3"/>
  <c r="S288" i="3"/>
  <c r="R288" i="3"/>
  <c r="B288" i="3"/>
  <c r="V287" i="3"/>
  <c r="U287" i="3"/>
  <c r="T287" i="3"/>
  <c r="S287" i="3"/>
  <c r="R287" i="3"/>
  <c r="B287" i="3"/>
  <c r="V286" i="3"/>
  <c r="U286" i="3"/>
  <c r="T286" i="3"/>
  <c r="S286" i="3"/>
  <c r="R286" i="3"/>
  <c r="B286" i="3"/>
  <c r="V285" i="3"/>
  <c r="U285" i="3"/>
  <c r="T285" i="3"/>
  <c r="S285" i="3"/>
  <c r="R285" i="3"/>
  <c r="B285" i="3"/>
  <c r="V284" i="3"/>
  <c r="U284" i="3"/>
  <c r="T284" i="3"/>
  <c r="S284" i="3"/>
  <c r="R284" i="3"/>
  <c r="B284" i="3"/>
  <c r="V283" i="3"/>
  <c r="U283" i="3"/>
  <c r="T283" i="3"/>
  <c r="S283" i="3"/>
  <c r="R283" i="3"/>
  <c r="B283" i="3"/>
  <c r="V282" i="3"/>
  <c r="U282" i="3"/>
  <c r="T282" i="3"/>
  <c r="S282" i="3"/>
  <c r="R282" i="3"/>
  <c r="B282" i="3"/>
  <c r="V281" i="3"/>
  <c r="U281" i="3"/>
  <c r="T281" i="3"/>
  <c r="S281" i="3"/>
  <c r="R281" i="3"/>
  <c r="B281" i="3"/>
  <c r="V280" i="3"/>
  <c r="U280" i="3"/>
  <c r="T280" i="3"/>
  <c r="S280" i="3"/>
  <c r="R280" i="3"/>
  <c r="B280" i="3"/>
  <c r="V279" i="3"/>
  <c r="U279" i="3"/>
  <c r="T279" i="3"/>
  <c r="S279" i="3"/>
  <c r="R279" i="3"/>
  <c r="B279" i="3"/>
  <c r="V278" i="3"/>
  <c r="U278" i="3"/>
  <c r="T278" i="3"/>
  <c r="S278" i="3"/>
  <c r="R278" i="3"/>
  <c r="B278" i="3"/>
  <c r="V277" i="3"/>
  <c r="U277" i="3"/>
  <c r="T277" i="3"/>
  <c r="S277" i="3"/>
  <c r="R277" i="3"/>
  <c r="B277" i="3"/>
  <c r="V276" i="3"/>
  <c r="U276" i="3"/>
  <c r="T276" i="3"/>
  <c r="S276" i="3"/>
  <c r="R276" i="3"/>
  <c r="B276" i="3"/>
  <c r="V275" i="3"/>
  <c r="U275" i="3"/>
  <c r="T275" i="3"/>
  <c r="S275" i="3"/>
  <c r="R275" i="3"/>
  <c r="B275" i="3"/>
  <c r="V274" i="3"/>
  <c r="U274" i="3"/>
  <c r="T274" i="3"/>
  <c r="S274" i="3"/>
  <c r="R274" i="3"/>
  <c r="B274" i="3"/>
  <c r="V273" i="3"/>
  <c r="U273" i="3"/>
  <c r="T273" i="3"/>
  <c r="S273" i="3"/>
  <c r="R273" i="3"/>
  <c r="B273" i="3"/>
  <c r="V272" i="3"/>
  <c r="U272" i="3"/>
  <c r="T272" i="3"/>
  <c r="S272" i="3"/>
  <c r="R272" i="3"/>
  <c r="B272" i="3"/>
  <c r="V271" i="3"/>
  <c r="U271" i="3"/>
  <c r="T271" i="3"/>
  <c r="S271" i="3"/>
  <c r="R271" i="3"/>
  <c r="B271" i="3"/>
  <c r="V270" i="3"/>
  <c r="U270" i="3"/>
  <c r="T270" i="3"/>
  <c r="S270" i="3"/>
  <c r="R270" i="3"/>
  <c r="B270" i="3"/>
  <c r="V269" i="3"/>
  <c r="U269" i="3"/>
  <c r="T269" i="3"/>
  <c r="S269" i="3"/>
  <c r="R269" i="3"/>
  <c r="B269" i="3"/>
  <c r="V268" i="3"/>
  <c r="U268" i="3"/>
  <c r="T268" i="3"/>
  <c r="S268" i="3"/>
  <c r="R268" i="3"/>
  <c r="B268" i="3"/>
  <c r="V267" i="3"/>
  <c r="U267" i="3"/>
  <c r="T267" i="3"/>
  <c r="S267" i="3"/>
  <c r="R267" i="3"/>
  <c r="B267" i="3"/>
  <c r="V266" i="3"/>
  <c r="U266" i="3"/>
  <c r="T266" i="3"/>
  <c r="S266" i="3"/>
  <c r="R266" i="3"/>
  <c r="B266" i="3"/>
  <c r="V265" i="3"/>
  <c r="U265" i="3"/>
  <c r="T265" i="3"/>
  <c r="S265" i="3"/>
  <c r="R265" i="3"/>
  <c r="B265" i="3"/>
  <c r="V264" i="3"/>
  <c r="U264" i="3"/>
  <c r="T264" i="3"/>
  <c r="S264" i="3"/>
  <c r="R264" i="3"/>
  <c r="B264" i="3"/>
  <c r="V263" i="3"/>
  <c r="U263" i="3"/>
  <c r="T263" i="3"/>
  <c r="S263" i="3"/>
  <c r="R263" i="3"/>
  <c r="B263" i="3"/>
  <c r="V262" i="3"/>
  <c r="U262" i="3"/>
  <c r="T262" i="3"/>
  <c r="S262" i="3"/>
  <c r="R262" i="3"/>
  <c r="B262" i="3"/>
  <c r="V261" i="3"/>
  <c r="U261" i="3"/>
  <c r="T261" i="3"/>
  <c r="S261" i="3"/>
  <c r="R261" i="3"/>
  <c r="B261" i="3"/>
  <c r="V260" i="3"/>
  <c r="U260" i="3"/>
  <c r="T260" i="3"/>
  <c r="S260" i="3"/>
  <c r="R260" i="3"/>
  <c r="B260" i="3"/>
  <c r="V259" i="3"/>
  <c r="U259" i="3"/>
  <c r="T259" i="3"/>
  <c r="S259" i="3"/>
  <c r="R259" i="3"/>
  <c r="B259" i="3"/>
  <c r="V258" i="3"/>
  <c r="U258" i="3"/>
  <c r="T258" i="3"/>
  <c r="S258" i="3"/>
  <c r="R258" i="3"/>
  <c r="B258" i="3"/>
  <c r="V257" i="3"/>
  <c r="U257" i="3"/>
  <c r="T257" i="3"/>
  <c r="S257" i="3"/>
  <c r="R257" i="3"/>
  <c r="B257" i="3"/>
  <c r="V256" i="3"/>
  <c r="U256" i="3"/>
  <c r="T256" i="3"/>
  <c r="S256" i="3"/>
  <c r="R256" i="3"/>
  <c r="B256" i="3"/>
  <c r="V255" i="3"/>
  <c r="U255" i="3"/>
  <c r="T255" i="3"/>
  <c r="S255" i="3"/>
  <c r="R255" i="3"/>
  <c r="B255" i="3"/>
  <c r="V254" i="3"/>
  <c r="U254" i="3"/>
  <c r="T254" i="3"/>
  <c r="S254" i="3"/>
  <c r="R254" i="3"/>
  <c r="B254" i="3"/>
  <c r="V253" i="3"/>
  <c r="U253" i="3"/>
  <c r="T253" i="3"/>
  <c r="S253" i="3"/>
  <c r="R253" i="3"/>
  <c r="B253" i="3"/>
  <c r="V252" i="3"/>
  <c r="U252" i="3"/>
  <c r="T252" i="3"/>
  <c r="S252" i="3"/>
  <c r="R252" i="3"/>
  <c r="B252" i="3"/>
  <c r="V251" i="3"/>
  <c r="U251" i="3"/>
  <c r="T251" i="3"/>
  <c r="S251" i="3"/>
  <c r="R251" i="3"/>
  <c r="B251" i="3"/>
  <c r="V250" i="3"/>
  <c r="U250" i="3"/>
  <c r="T250" i="3"/>
  <c r="S250" i="3"/>
  <c r="R250" i="3"/>
  <c r="B250" i="3"/>
  <c r="V249" i="3"/>
  <c r="U249" i="3"/>
  <c r="T249" i="3"/>
  <c r="S249" i="3"/>
  <c r="R249" i="3"/>
  <c r="B249" i="3"/>
  <c r="V248" i="3"/>
  <c r="U248" i="3"/>
  <c r="T248" i="3"/>
  <c r="S248" i="3"/>
  <c r="R248" i="3"/>
  <c r="B248" i="3"/>
  <c r="V247" i="3"/>
  <c r="U247" i="3"/>
  <c r="T247" i="3"/>
  <c r="S247" i="3"/>
  <c r="R247" i="3"/>
  <c r="B247" i="3"/>
  <c r="V246" i="3"/>
  <c r="U246" i="3"/>
  <c r="T246" i="3"/>
  <c r="S246" i="3"/>
  <c r="R246" i="3"/>
  <c r="B246" i="3"/>
  <c r="V245" i="3"/>
  <c r="U245" i="3"/>
  <c r="T245" i="3"/>
  <c r="S245" i="3"/>
  <c r="R245" i="3"/>
  <c r="B245" i="3"/>
  <c r="V244" i="3"/>
  <c r="U244" i="3"/>
  <c r="T244" i="3"/>
  <c r="S244" i="3"/>
  <c r="R244" i="3"/>
  <c r="B244" i="3"/>
  <c r="V243" i="3"/>
  <c r="U243" i="3"/>
  <c r="T243" i="3"/>
  <c r="S243" i="3"/>
  <c r="R243" i="3"/>
  <c r="B243" i="3"/>
  <c r="V242" i="3"/>
  <c r="U242" i="3"/>
  <c r="T242" i="3"/>
  <c r="S242" i="3"/>
  <c r="R242" i="3"/>
  <c r="B242" i="3"/>
  <c r="V241" i="3"/>
  <c r="U241" i="3"/>
  <c r="T241" i="3"/>
  <c r="S241" i="3"/>
  <c r="R241" i="3"/>
  <c r="B241" i="3"/>
  <c r="V240" i="3"/>
  <c r="U240" i="3"/>
  <c r="T240" i="3"/>
  <c r="S240" i="3"/>
  <c r="R240" i="3"/>
  <c r="B240" i="3"/>
  <c r="V239" i="3"/>
  <c r="U239" i="3"/>
  <c r="T239" i="3"/>
  <c r="S239" i="3"/>
  <c r="R239" i="3"/>
  <c r="B239" i="3"/>
  <c r="V238" i="3"/>
  <c r="U238" i="3"/>
  <c r="T238" i="3"/>
  <c r="S238" i="3"/>
  <c r="R238" i="3"/>
  <c r="B238" i="3"/>
  <c r="V237" i="3"/>
  <c r="U237" i="3"/>
  <c r="T237" i="3"/>
  <c r="S237" i="3"/>
  <c r="R237" i="3"/>
  <c r="B237" i="3"/>
  <c r="V236" i="3"/>
  <c r="U236" i="3"/>
  <c r="T236" i="3"/>
  <c r="S236" i="3"/>
  <c r="R236" i="3"/>
  <c r="B236" i="3"/>
  <c r="V235" i="3"/>
  <c r="U235" i="3"/>
  <c r="T235" i="3"/>
  <c r="S235" i="3"/>
  <c r="R235" i="3"/>
  <c r="B235" i="3"/>
  <c r="V234" i="3"/>
  <c r="U234" i="3"/>
  <c r="T234" i="3"/>
  <c r="S234" i="3"/>
  <c r="R234" i="3"/>
  <c r="B234" i="3"/>
  <c r="V233" i="3"/>
  <c r="U233" i="3"/>
  <c r="T233" i="3"/>
  <c r="S233" i="3"/>
  <c r="R233" i="3"/>
  <c r="B233" i="3"/>
  <c r="V232" i="3"/>
  <c r="U232" i="3"/>
  <c r="T232" i="3"/>
  <c r="S232" i="3"/>
  <c r="R232" i="3"/>
  <c r="B232" i="3"/>
  <c r="V231" i="3"/>
  <c r="U231" i="3"/>
  <c r="T231" i="3"/>
  <c r="S231" i="3"/>
  <c r="R231" i="3"/>
  <c r="B231" i="3"/>
  <c r="V230" i="3"/>
  <c r="U230" i="3"/>
  <c r="T230" i="3"/>
  <c r="S230" i="3"/>
  <c r="R230" i="3"/>
  <c r="B230" i="3"/>
  <c r="V229" i="3"/>
  <c r="U229" i="3"/>
  <c r="T229" i="3"/>
  <c r="S229" i="3"/>
  <c r="R229" i="3"/>
  <c r="B229" i="3"/>
  <c r="V228" i="3"/>
  <c r="U228" i="3"/>
  <c r="T228" i="3"/>
  <c r="S228" i="3"/>
  <c r="R228" i="3"/>
  <c r="B228" i="3"/>
  <c r="V227" i="3"/>
  <c r="U227" i="3"/>
  <c r="T227" i="3"/>
  <c r="S227" i="3"/>
  <c r="R227" i="3"/>
  <c r="B227" i="3"/>
  <c r="V226" i="3"/>
  <c r="U226" i="3"/>
  <c r="T226" i="3"/>
  <c r="S226" i="3"/>
  <c r="R226" i="3"/>
  <c r="B226" i="3"/>
  <c r="V225" i="3"/>
  <c r="U225" i="3"/>
  <c r="T225" i="3"/>
  <c r="S225" i="3"/>
  <c r="R225" i="3"/>
  <c r="B225" i="3"/>
  <c r="V224" i="3"/>
  <c r="U224" i="3"/>
  <c r="T224" i="3"/>
  <c r="S224" i="3"/>
  <c r="R224" i="3"/>
  <c r="B224" i="3"/>
  <c r="V223" i="3"/>
  <c r="U223" i="3"/>
  <c r="T223" i="3"/>
  <c r="S223" i="3"/>
  <c r="R223" i="3"/>
  <c r="B223" i="3"/>
  <c r="V222" i="3"/>
  <c r="U222" i="3"/>
  <c r="T222" i="3"/>
  <c r="S222" i="3"/>
  <c r="R222" i="3"/>
  <c r="B222" i="3"/>
  <c r="V221" i="3"/>
  <c r="U221" i="3"/>
  <c r="T221" i="3"/>
  <c r="S221" i="3"/>
  <c r="R221" i="3"/>
  <c r="B221" i="3"/>
  <c r="V220" i="3"/>
  <c r="U220" i="3"/>
  <c r="T220" i="3"/>
  <c r="S220" i="3"/>
  <c r="R220" i="3"/>
  <c r="B220" i="3"/>
  <c r="V219" i="3"/>
  <c r="U219" i="3"/>
  <c r="T219" i="3"/>
  <c r="S219" i="3"/>
  <c r="R219" i="3"/>
  <c r="B219" i="3"/>
  <c r="V218" i="3"/>
  <c r="U218" i="3"/>
  <c r="T218" i="3"/>
  <c r="S218" i="3"/>
  <c r="R218" i="3"/>
  <c r="B218" i="3"/>
  <c r="V217" i="3"/>
  <c r="U217" i="3"/>
  <c r="T217" i="3"/>
  <c r="S217" i="3"/>
  <c r="R217" i="3"/>
  <c r="B217" i="3"/>
  <c r="V216" i="3"/>
  <c r="U216" i="3"/>
  <c r="T216" i="3"/>
  <c r="S216" i="3"/>
  <c r="R216" i="3"/>
  <c r="B216" i="3"/>
  <c r="V215" i="3"/>
  <c r="U215" i="3"/>
  <c r="T215" i="3"/>
  <c r="S215" i="3"/>
  <c r="R215" i="3"/>
  <c r="B215" i="3"/>
  <c r="V214" i="3"/>
  <c r="U214" i="3"/>
  <c r="T214" i="3"/>
  <c r="S214" i="3"/>
  <c r="R214" i="3"/>
  <c r="B214" i="3"/>
  <c r="V213" i="3"/>
  <c r="U213" i="3"/>
  <c r="T213" i="3"/>
  <c r="S213" i="3"/>
  <c r="R213" i="3"/>
  <c r="B213" i="3"/>
  <c r="V212" i="3"/>
  <c r="U212" i="3"/>
  <c r="T212" i="3"/>
  <c r="S212" i="3"/>
  <c r="R212" i="3"/>
  <c r="B212" i="3"/>
  <c r="V211" i="3"/>
  <c r="U211" i="3"/>
  <c r="T211" i="3"/>
  <c r="S211" i="3"/>
  <c r="R211" i="3"/>
  <c r="B211" i="3"/>
  <c r="V210" i="3"/>
  <c r="U210" i="3"/>
  <c r="T210" i="3"/>
  <c r="S210" i="3"/>
  <c r="R210" i="3"/>
  <c r="B210" i="3"/>
  <c r="V209" i="3"/>
  <c r="U209" i="3"/>
  <c r="T209" i="3"/>
  <c r="S209" i="3"/>
  <c r="R209" i="3"/>
  <c r="B209" i="3"/>
  <c r="V208" i="3"/>
  <c r="U208" i="3"/>
  <c r="T208" i="3"/>
  <c r="S208" i="3"/>
  <c r="R208" i="3"/>
  <c r="B208" i="3"/>
  <c r="V207" i="3"/>
  <c r="U207" i="3"/>
  <c r="T207" i="3"/>
  <c r="S207" i="3"/>
  <c r="R207" i="3"/>
  <c r="B207" i="3"/>
  <c r="V206" i="3"/>
  <c r="U206" i="3"/>
  <c r="T206" i="3"/>
  <c r="S206" i="3"/>
  <c r="R206" i="3"/>
  <c r="B206" i="3"/>
  <c r="V205" i="3"/>
  <c r="U205" i="3"/>
  <c r="T205" i="3"/>
  <c r="S205" i="3"/>
  <c r="R205" i="3"/>
  <c r="B205" i="3"/>
  <c r="V204" i="3"/>
  <c r="U204" i="3"/>
  <c r="T204" i="3"/>
  <c r="S204" i="3"/>
  <c r="R204" i="3"/>
  <c r="B204" i="3"/>
  <c r="V203" i="3"/>
  <c r="U203" i="3"/>
  <c r="T203" i="3"/>
  <c r="S203" i="3"/>
  <c r="R203" i="3"/>
  <c r="B203" i="3"/>
  <c r="V202" i="3"/>
  <c r="U202" i="3"/>
  <c r="T202" i="3"/>
  <c r="S202" i="3"/>
  <c r="R202" i="3"/>
  <c r="B202" i="3"/>
  <c r="V201" i="3"/>
  <c r="U201" i="3"/>
  <c r="T201" i="3"/>
  <c r="S201" i="3"/>
  <c r="R201" i="3"/>
  <c r="B201" i="3"/>
  <c r="V200" i="3"/>
  <c r="U200" i="3"/>
  <c r="T200" i="3"/>
  <c r="S200" i="3"/>
  <c r="R200" i="3"/>
  <c r="B200" i="3"/>
  <c r="V199" i="3"/>
  <c r="U199" i="3"/>
  <c r="T199" i="3"/>
  <c r="S199" i="3"/>
  <c r="R199" i="3"/>
  <c r="B199" i="3"/>
  <c r="V198" i="3"/>
  <c r="U198" i="3"/>
  <c r="T198" i="3"/>
  <c r="S198" i="3"/>
  <c r="R198" i="3"/>
  <c r="B198" i="3"/>
  <c r="V197" i="3"/>
  <c r="U197" i="3"/>
  <c r="T197" i="3"/>
  <c r="S197" i="3"/>
  <c r="R197" i="3"/>
  <c r="B197" i="3"/>
  <c r="V196" i="3"/>
  <c r="U196" i="3"/>
  <c r="T196" i="3"/>
  <c r="S196" i="3"/>
  <c r="R196" i="3"/>
  <c r="B196" i="3"/>
  <c r="V195" i="3"/>
  <c r="U195" i="3"/>
  <c r="T195" i="3"/>
  <c r="S195" i="3"/>
  <c r="R195" i="3"/>
  <c r="B195" i="3"/>
  <c r="V194" i="3"/>
  <c r="U194" i="3"/>
  <c r="T194" i="3"/>
  <c r="S194" i="3"/>
  <c r="R194" i="3"/>
  <c r="B194" i="3"/>
  <c r="V193" i="3"/>
  <c r="U193" i="3"/>
  <c r="T193" i="3"/>
  <c r="S193" i="3"/>
  <c r="R193" i="3"/>
  <c r="B193" i="3"/>
  <c r="V192" i="3"/>
  <c r="U192" i="3"/>
  <c r="T192" i="3"/>
  <c r="S192" i="3"/>
  <c r="R192" i="3"/>
  <c r="B192" i="3"/>
  <c r="V191" i="3"/>
  <c r="U191" i="3"/>
  <c r="T191" i="3"/>
  <c r="S191" i="3"/>
  <c r="R191" i="3"/>
  <c r="B191" i="3"/>
  <c r="V190" i="3"/>
  <c r="U190" i="3"/>
  <c r="T190" i="3"/>
  <c r="S190" i="3"/>
  <c r="R190" i="3"/>
  <c r="B190" i="3"/>
  <c r="V189" i="3"/>
  <c r="U189" i="3"/>
  <c r="T189" i="3"/>
  <c r="S189" i="3"/>
  <c r="R189" i="3"/>
  <c r="B189" i="3"/>
  <c r="V188" i="3"/>
  <c r="U188" i="3"/>
  <c r="T188" i="3"/>
  <c r="S188" i="3"/>
  <c r="R188" i="3"/>
  <c r="B188" i="3"/>
  <c r="V187" i="3"/>
  <c r="U187" i="3"/>
  <c r="T187" i="3"/>
  <c r="S187" i="3"/>
  <c r="R187" i="3"/>
  <c r="B187" i="3"/>
  <c r="V186" i="3"/>
  <c r="U186" i="3"/>
  <c r="T186" i="3"/>
  <c r="S186" i="3"/>
  <c r="R186" i="3"/>
  <c r="B186" i="3"/>
  <c r="V185" i="3"/>
  <c r="U185" i="3"/>
  <c r="T185" i="3"/>
  <c r="S185" i="3"/>
  <c r="R185" i="3"/>
  <c r="B185" i="3"/>
  <c r="V184" i="3"/>
  <c r="U184" i="3"/>
  <c r="T184" i="3"/>
  <c r="S184" i="3"/>
  <c r="R184" i="3"/>
  <c r="B184" i="3"/>
  <c r="V183" i="3"/>
  <c r="U183" i="3"/>
  <c r="T183" i="3"/>
  <c r="S183" i="3"/>
  <c r="R183" i="3"/>
  <c r="B183" i="3"/>
  <c r="V182" i="3"/>
  <c r="U182" i="3"/>
  <c r="T182" i="3"/>
  <c r="S182" i="3"/>
  <c r="R182" i="3"/>
  <c r="B182" i="3"/>
  <c r="V181" i="3"/>
  <c r="U181" i="3"/>
  <c r="T181" i="3"/>
  <c r="S181" i="3"/>
  <c r="R181" i="3"/>
  <c r="B181" i="3"/>
  <c r="V180" i="3"/>
  <c r="U180" i="3"/>
  <c r="T180" i="3"/>
  <c r="S180" i="3"/>
  <c r="R180" i="3"/>
  <c r="B180" i="3"/>
  <c r="V179" i="3"/>
  <c r="U179" i="3"/>
  <c r="T179" i="3"/>
  <c r="S179" i="3"/>
  <c r="R179" i="3"/>
  <c r="B179" i="3"/>
  <c r="V178" i="3"/>
  <c r="U178" i="3"/>
  <c r="T178" i="3"/>
  <c r="S178" i="3"/>
  <c r="R178" i="3"/>
  <c r="B178" i="3"/>
  <c r="V177" i="3"/>
  <c r="U177" i="3"/>
  <c r="T177" i="3"/>
  <c r="S177" i="3"/>
  <c r="R177" i="3"/>
  <c r="B177" i="3"/>
  <c r="V176" i="3"/>
  <c r="U176" i="3"/>
  <c r="T176" i="3"/>
  <c r="S176" i="3"/>
  <c r="R176" i="3"/>
  <c r="B176" i="3"/>
  <c r="V175" i="3"/>
  <c r="U175" i="3"/>
  <c r="T175" i="3"/>
  <c r="S175" i="3"/>
  <c r="R175" i="3"/>
  <c r="B175" i="3"/>
  <c r="V174" i="3"/>
  <c r="U174" i="3"/>
  <c r="T174" i="3"/>
  <c r="S174" i="3"/>
  <c r="R174" i="3"/>
  <c r="B174" i="3"/>
  <c r="V173" i="3"/>
  <c r="U173" i="3"/>
  <c r="T173" i="3"/>
  <c r="S173" i="3"/>
  <c r="R173" i="3"/>
  <c r="B173" i="3"/>
  <c r="V172" i="3"/>
  <c r="U172" i="3"/>
  <c r="T172" i="3"/>
  <c r="S172" i="3"/>
  <c r="R172" i="3"/>
  <c r="B172" i="3"/>
  <c r="V171" i="3"/>
  <c r="U171" i="3"/>
  <c r="T171" i="3"/>
  <c r="S171" i="3"/>
  <c r="R171" i="3"/>
  <c r="B171" i="3"/>
  <c r="V170" i="3"/>
  <c r="U170" i="3"/>
  <c r="T170" i="3"/>
  <c r="S170" i="3"/>
  <c r="R170" i="3"/>
  <c r="B170" i="3"/>
  <c r="V169" i="3"/>
  <c r="U169" i="3"/>
  <c r="T169" i="3"/>
  <c r="S169" i="3"/>
  <c r="R169" i="3"/>
  <c r="B169" i="3"/>
  <c r="V168" i="3"/>
  <c r="U168" i="3"/>
  <c r="T168" i="3"/>
  <c r="S168" i="3"/>
  <c r="R168" i="3"/>
  <c r="B168" i="3"/>
  <c r="V167" i="3"/>
  <c r="U167" i="3"/>
  <c r="T167" i="3"/>
  <c r="S167" i="3"/>
  <c r="R167" i="3"/>
  <c r="B167" i="3"/>
  <c r="V166" i="3"/>
  <c r="U166" i="3"/>
  <c r="T166" i="3"/>
  <c r="S166" i="3"/>
  <c r="R166" i="3"/>
  <c r="B166" i="3"/>
  <c r="V165" i="3"/>
  <c r="U165" i="3"/>
  <c r="T165" i="3"/>
  <c r="S165" i="3"/>
  <c r="R165" i="3"/>
  <c r="B165" i="3"/>
  <c r="V164" i="3"/>
  <c r="U164" i="3"/>
  <c r="T164" i="3"/>
  <c r="S164" i="3"/>
  <c r="R164" i="3"/>
  <c r="B164" i="3"/>
  <c r="V163" i="3"/>
  <c r="U163" i="3"/>
  <c r="T163" i="3"/>
  <c r="S163" i="3"/>
  <c r="R163" i="3"/>
  <c r="B163" i="3"/>
  <c r="V162" i="3"/>
  <c r="U162" i="3"/>
  <c r="T162" i="3"/>
  <c r="S162" i="3"/>
  <c r="R162" i="3"/>
  <c r="B162" i="3"/>
  <c r="V161" i="3"/>
  <c r="U161" i="3"/>
  <c r="T161" i="3"/>
  <c r="S161" i="3"/>
  <c r="R161" i="3"/>
  <c r="B161" i="3"/>
  <c r="V160" i="3"/>
  <c r="U160" i="3"/>
  <c r="T160" i="3"/>
  <c r="S160" i="3"/>
  <c r="R160" i="3"/>
  <c r="B160" i="3"/>
  <c r="V159" i="3"/>
  <c r="U159" i="3"/>
  <c r="T159" i="3"/>
  <c r="S159" i="3"/>
  <c r="R159" i="3"/>
  <c r="B159" i="3"/>
  <c r="V158" i="3"/>
  <c r="U158" i="3"/>
  <c r="T158" i="3"/>
  <c r="S158" i="3"/>
  <c r="R158" i="3"/>
  <c r="B158" i="3"/>
  <c r="V157" i="3"/>
  <c r="U157" i="3"/>
  <c r="T157" i="3"/>
  <c r="S157" i="3"/>
  <c r="R157" i="3"/>
  <c r="B157" i="3"/>
  <c r="V156" i="3"/>
  <c r="U156" i="3"/>
  <c r="T156" i="3"/>
  <c r="S156" i="3"/>
  <c r="R156" i="3"/>
  <c r="B156" i="3"/>
  <c r="V155" i="3"/>
  <c r="U155" i="3"/>
  <c r="T155" i="3"/>
  <c r="S155" i="3"/>
  <c r="R155" i="3"/>
  <c r="B155" i="3"/>
  <c r="V154" i="3"/>
  <c r="U154" i="3"/>
  <c r="T154" i="3"/>
  <c r="S154" i="3"/>
  <c r="R154" i="3"/>
  <c r="B154" i="3"/>
  <c r="V153" i="3"/>
  <c r="U153" i="3"/>
  <c r="T153" i="3"/>
  <c r="S153" i="3"/>
  <c r="R153" i="3"/>
  <c r="B153" i="3"/>
  <c r="V152" i="3"/>
  <c r="U152" i="3"/>
  <c r="T152" i="3"/>
  <c r="S152" i="3"/>
  <c r="R152" i="3"/>
  <c r="B152" i="3"/>
  <c r="V151" i="3"/>
  <c r="U151" i="3"/>
  <c r="T151" i="3"/>
  <c r="S151" i="3"/>
  <c r="R151" i="3"/>
  <c r="B151" i="3"/>
  <c r="V150" i="3"/>
  <c r="U150" i="3"/>
  <c r="T150" i="3"/>
  <c r="S150" i="3"/>
  <c r="R150" i="3"/>
  <c r="B150" i="3"/>
  <c r="V149" i="3"/>
  <c r="U149" i="3"/>
  <c r="T149" i="3"/>
  <c r="S149" i="3"/>
  <c r="R149" i="3"/>
  <c r="B149" i="3"/>
  <c r="V148" i="3"/>
  <c r="U148" i="3"/>
  <c r="T148" i="3"/>
  <c r="S148" i="3"/>
  <c r="R148" i="3"/>
  <c r="B148" i="3"/>
  <c r="V147" i="3"/>
  <c r="U147" i="3"/>
  <c r="T147" i="3"/>
  <c r="S147" i="3"/>
  <c r="R147" i="3"/>
  <c r="B147" i="3"/>
  <c r="V146" i="3"/>
  <c r="U146" i="3"/>
  <c r="T146" i="3"/>
  <c r="S146" i="3"/>
  <c r="R146" i="3"/>
  <c r="B146" i="3"/>
  <c r="V145" i="3"/>
  <c r="U145" i="3"/>
  <c r="T145" i="3"/>
  <c r="S145" i="3"/>
  <c r="R145" i="3"/>
  <c r="B145" i="3"/>
  <c r="V144" i="3"/>
  <c r="U144" i="3"/>
  <c r="T144" i="3"/>
  <c r="S144" i="3"/>
  <c r="R144" i="3"/>
  <c r="B144" i="3"/>
  <c r="V143" i="3"/>
  <c r="U143" i="3"/>
  <c r="T143" i="3"/>
  <c r="S143" i="3"/>
  <c r="R143" i="3"/>
  <c r="B143" i="3"/>
  <c r="V142" i="3"/>
  <c r="U142" i="3"/>
  <c r="T142" i="3"/>
  <c r="S142" i="3"/>
  <c r="R142" i="3"/>
  <c r="B142" i="3"/>
  <c r="V141" i="3"/>
  <c r="U141" i="3"/>
  <c r="T141" i="3"/>
  <c r="S141" i="3"/>
  <c r="R141" i="3"/>
  <c r="B141" i="3"/>
  <c r="V140" i="3"/>
  <c r="U140" i="3"/>
  <c r="T140" i="3"/>
  <c r="S140" i="3"/>
  <c r="R140" i="3"/>
  <c r="B140" i="3"/>
  <c r="V139" i="3"/>
  <c r="U139" i="3"/>
  <c r="T139" i="3"/>
  <c r="S139" i="3"/>
  <c r="R139" i="3"/>
  <c r="B139" i="3"/>
  <c r="V138" i="3"/>
  <c r="U138" i="3"/>
  <c r="T138" i="3"/>
  <c r="S138" i="3"/>
  <c r="R138" i="3"/>
  <c r="B138" i="3"/>
  <c r="V137" i="3"/>
  <c r="U137" i="3"/>
  <c r="T137" i="3"/>
  <c r="S137" i="3"/>
  <c r="R137" i="3"/>
  <c r="B137" i="3"/>
  <c r="V136" i="3"/>
  <c r="U136" i="3"/>
  <c r="T136" i="3"/>
  <c r="S136" i="3"/>
  <c r="R136" i="3"/>
  <c r="B136" i="3"/>
  <c r="V135" i="3"/>
  <c r="U135" i="3"/>
  <c r="T135" i="3"/>
  <c r="S135" i="3"/>
  <c r="R135" i="3"/>
  <c r="B135" i="3"/>
  <c r="V134" i="3"/>
  <c r="U134" i="3"/>
  <c r="T134" i="3"/>
  <c r="S134" i="3"/>
  <c r="R134" i="3"/>
  <c r="B134" i="3"/>
  <c r="V133" i="3"/>
  <c r="U133" i="3"/>
  <c r="T133" i="3"/>
  <c r="S133" i="3"/>
  <c r="R133" i="3"/>
  <c r="B133" i="3"/>
  <c r="V132" i="3"/>
  <c r="U132" i="3"/>
  <c r="T132" i="3"/>
  <c r="S132" i="3"/>
  <c r="R132" i="3"/>
  <c r="B132" i="3"/>
  <c r="V131" i="3"/>
  <c r="U131" i="3"/>
  <c r="T131" i="3"/>
  <c r="S131" i="3"/>
  <c r="R131" i="3"/>
  <c r="B131" i="3"/>
  <c r="V130" i="3"/>
  <c r="U130" i="3"/>
  <c r="T130" i="3"/>
  <c r="S130" i="3"/>
  <c r="R130" i="3"/>
  <c r="B130" i="3"/>
  <c r="V129" i="3"/>
  <c r="U129" i="3"/>
  <c r="T129" i="3"/>
  <c r="S129" i="3"/>
  <c r="R129" i="3"/>
  <c r="B129" i="3"/>
  <c r="V128" i="3"/>
  <c r="U128" i="3"/>
  <c r="T128" i="3"/>
  <c r="S128" i="3"/>
  <c r="R128" i="3"/>
  <c r="B128" i="3"/>
  <c r="V127" i="3"/>
  <c r="U127" i="3"/>
  <c r="T127" i="3"/>
  <c r="S127" i="3"/>
  <c r="R127" i="3"/>
  <c r="B127" i="3"/>
  <c r="V126" i="3"/>
  <c r="U126" i="3"/>
  <c r="T126" i="3"/>
  <c r="S126" i="3"/>
  <c r="R126" i="3"/>
  <c r="B126" i="3"/>
  <c r="V125" i="3"/>
  <c r="U125" i="3"/>
  <c r="T125" i="3"/>
  <c r="S125" i="3"/>
  <c r="R125" i="3"/>
  <c r="B125" i="3"/>
  <c r="V124" i="3"/>
  <c r="U124" i="3"/>
  <c r="T124" i="3"/>
  <c r="S124" i="3"/>
  <c r="R124" i="3"/>
  <c r="B124" i="3"/>
  <c r="V123" i="3"/>
  <c r="U123" i="3"/>
  <c r="T123" i="3"/>
  <c r="S123" i="3"/>
  <c r="R123" i="3"/>
  <c r="B123" i="3"/>
  <c r="V122" i="3"/>
  <c r="U122" i="3"/>
  <c r="T122" i="3"/>
  <c r="S122" i="3"/>
  <c r="R122" i="3"/>
  <c r="B122" i="3"/>
  <c r="V121" i="3"/>
  <c r="U121" i="3"/>
  <c r="T121" i="3"/>
  <c r="S121" i="3"/>
  <c r="R121" i="3"/>
  <c r="B121" i="3"/>
  <c r="V120" i="3"/>
  <c r="U120" i="3"/>
  <c r="T120" i="3"/>
  <c r="S120" i="3"/>
  <c r="R120" i="3"/>
  <c r="B120" i="3"/>
  <c r="V119" i="3"/>
  <c r="U119" i="3"/>
  <c r="T119" i="3"/>
  <c r="S119" i="3"/>
  <c r="R119" i="3"/>
  <c r="B119" i="3"/>
  <c r="V118" i="3"/>
  <c r="U118" i="3"/>
  <c r="T118" i="3"/>
  <c r="S118" i="3"/>
  <c r="R118" i="3"/>
  <c r="B118" i="3"/>
  <c r="V117" i="3"/>
  <c r="U117" i="3"/>
  <c r="T117" i="3"/>
  <c r="S117" i="3"/>
  <c r="R117" i="3"/>
  <c r="B117" i="3"/>
  <c r="V116" i="3"/>
  <c r="U116" i="3"/>
  <c r="T116" i="3"/>
  <c r="S116" i="3"/>
  <c r="R116" i="3"/>
  <c r="B116" i="3"/>
  <c r="V115" i="3"/>
  <c r="U115" i="3"/>
  <c r="T115" i="3"/>
  <c r="S115" i="3"/>
  <c r="R115" i="3"/>
  <c r="B115" i="3"/>
  <c r="V114" i="3"/>
  <c r="U114" i="3"/>
  <c r="T114" i="3"/>
  <c r="S114" i="3"/>
  <c r="R114" i="3"/>
  <c r="B114" i="3"/>
  <c r="V113" i="3"/>
  <c r="U113" i="3"/>
  <c r="T113" i="3"/>
  <c r="S113" i="3"/>
  <c r="R113" i="3"/>
  <c r="B113" i="3"/>
  <c r="V112" i="3"/>
  <c r="U112" i="3"/>
  <c r="T112" i="3"/>
  <c r="S112" i="3"/>
  <c r="R112" i="3"/>
  <c r="B112" i="3"/>
  <c r="V111" i="3"/>
  <c r="U111" i="3"/>
  <c r="T111" i="3"/>
  <c r="S111" i="3"/>
  <c r="R111" i="3"/>
  <c r="B111" i="3"/>
  <c r="V110" i="3"/>
  <c r="U110" i="3"/>
  <c r="T110" i="3"/>
  <c r="S110" i="3"/>
  <c r="R110" i="3"/>
  <c r="B110" i="3"/>
  <c r="V109" i="3"/>
  <c r="U109" i="3"/>
  <c r="T109" i="3"/>
  <c r="S109" i="3"/>
  <c r="R109" i="3"/>
  <c r="B109" i="3"/>
  <c r="V108" i="3"/>
  <c r="U108" i="3"/>
  <c r="T108" i="3"/>
  <c r="S108" i="3"/>
  <c r="R108" i="3"/>
  <c r="B108" i="3"/>
  <c r="V107" i="3"/>
  <c r="U107" i="3"/>
  <c r="T107" i="3"/>
  <c r="S107" i="3"/>
  <c r="R107" i="3"/>
  <c r="B107" i="3"/>
  <c r="V106" i="3"/>
  <c r="U106" i="3"/>
  <c r="T106" i="3"/>
  <c r="S106" i="3"/>
  <c r="R106" i="3"/>
  <c r="B106" i="3"/>
  <c r="V105" i="3"/>
  <c r="U105" i="3"/>
  <c r="T105" i="3"/>
  <c r="S105" i="3"/>
  <c r="R105" i="3"/>
  <c r="B105" i="3"/>
  <c r="V104" i="3"/>
  <c r="U104" i="3"/>
  <c r="T104" i="3"/>
  <c r="S104" i="3"/>
  <c r="R104" i="3"/>
  <c r="B104" i="3"/>
  <c r="V103" i="3"/>
  <c r="U103" i="3"/>
  <c r="T103" i="3"/>
  <c r="S103" i="3"/>
  <c r="R103" i="3"/>
  <c r="B103" i="3"/>
  <c r="V102" i="3"/>
  <c r="U102" i="3"/>
  <c r="T102" i="3"/>
  <c r="S102" i="3"/>
  <c r="R102" i="3"/>
  <c r="B102" i="3"/>
  <c r="V101" i="3"/>
  <c r="U101" i="3"/>
  <c r="T101" i="3"/>
  <c r="S101" i="3"/>
  <c r="R101" i="3"/>
  <c r="B101" i="3"/>
  <c r="V100" i="3"/>
  <c r="U100" i="3"/>
  <c r="T100" i="3"/>
  <c r="S100" i="3"/>
  <c r="R100" i="3"/>
  <c r="B100" i="3"/>
  <c r="V99" i="3"/>
  <c r="U99" i="3"/>
  <c r="T99" i="3"/>
  <c r="S99" i="3"/>
  <c r="R99" i="3"/>
  <c r="B99" i="3"/>
  <c r="V98" i="3"/>
  <c r="U98" i="3"/>
  <c r="T98" i="3"/>
  <c r="S98" i="3"/>
  <c r="R98" i="3"/>
  <c r="B98" i="3"/>
  <c r="V97" i="3"/>
  <c r="U97" i="3"/>
  <c r="T97" i="3"/>
  <c r="S97" i="3"/>
  <c r="R97" i="3"/>
  <c r="B97" i="3"/>
  <c r="V96" i="3"/>
  <c r="U96" i="3"/>
  <c r="T96" i="3"/>
  <c r="S96" i="3"/>
  <c r="R96" i="3"/>
  <c r="B96" i="3"/>
  <c r="V95" i="3"/>
  <c r="U95" i="3"/>
  <c r="T95" i="3"/>
  <c r="S95" i="3"/>
  <c r="R95" i="3"/>
  <c r="B95" i="3"/>
  <c r="V94" i="3"/>
  <c r="U94" i="3"/>
  <c r="T94" i="3"/>
  <c r="S94" i="3"/>
  <c r="R94" i="3"/>
  <c r="B94" i="3"/>
  <c r="V93" i="3"/>
  <c r="U93" i="3"/>
  <c r="T93" i="3"/>
  <c r="S93" i="3"/>
  <c r="R93" i="3"/>
  <c r="B93" i="3"/>
  <c r="V92" i="3"/>
  <c r="U92" i="3"/>
  <c r="T92" i="3"/>
  <c r="S92" i="3"/>
  <c r="R92" i="3"/>
  <c r="B92" i="3"/>
  <c r="V91" i="3"/>
  <c r="U91" i="3"/>
  <c r="T91" i="3"/>
  <c r="S91" i="3"/>
  <c r="R91" i="3"/>
  <c r="B91" i="3"/>
  <c r="V90" i="3"/>
  <c r="U90" i="3"/>
  <c r="T90" i="3"/>
  <c r="S90" i="3"/>
  <c r="R90" i="3"/>
  <c r="B90" i="3"/>
  <c r="V89" i="3"/>
  <c r="U89" i="3"/>
  <c r="T89" i="3"/>
  <c r="S89" i="3"/>
  <c r="R89" i="3"/>
  <c r="B89" i="3"/>
  <c r="V88" i="3"/>
  <c r="U88" i="3"/>
  <c r="T88" i="3"/>
  <c r="S88" i="3"/>
  <c r="R88" i="3"/>
  <c r="B88" i="3"/>
  <c r="V87" i="3"/>
  <c r="U87" i="3"/>
  <c r="T87" i="3"/>
  <c r="S87" i="3"/>
  <c r="R87" i="3"/>
  <c r="B87" i="3"/>
  <c r="V86" i="3"/>
  <c r="U86" i="3"/>
  <c r="T86" i="3"/>
  <c r="S86" i="3"/>
  <c r="R86" i="3"/>
  <c r="B86" i="3"/>
  <c r="V85" i="3"/>
  <c r="U85" i="3"/>
  <c r="T85" i="3"/>
  <c r="S85" i="3"/>
  <c r="R85" i="3"/>
  <c r="B85" i="3"/>
  <c r="V84" i="3"/>
  <c r="U84" i="3"/>
  <c r="T84" i="3"/>
  <c r="S84" i="3"/>
  <c r="R84" i="3"/>
  <c r="B84" i="3"/>
  <c r="V83" i="3"/>
  <c r="U83" i="3"/>
  <c r="T83" i="3"/>
  <c r="S83" i="3"/>
  <c r="R83" i="3"/>
  <c r="B83" i="3"/>
  <c r="V82" i="3"/>
  <c r="U82" i="3"/>
  <c r="T82" i="3"/>
  <c r="S82" i="3"/>
  <c r="R82" i="3"/>
  <c r="B82" i="3"/>
  <c r="V81" i="3"/>
  <c r="U81" i="3"/>
  <c r="T81" i="3"/>
  <c r="S81" i="3"/>
  <c r="R81" i="3"/>
  <c r="B81" i="3"/>
  <c r="V80" i="3"/>
  <c r="U80" i="3"/>
  <c r="T80" i="3"/>
  <c r="S80" i="3"/>
  <c r="R80" i="3"/>
  <c r="B80" i="3"/>
  <c r="V79" i="3"/>
  <c r="U79" i="3"/>
  <c r="T79" i="3"/>
  <c r="S79" i="3"/>
  <c r="R79" i="3"/>
  <c r="B79" i="3"/>
  <c r="V78" i="3"/>
  <c r="U78" i="3"/>
  <c r="T78" i="3"/>
  <c r="S78" i="3"/>
  <c r="R78" i="3"/>
  <c r="B78" i="3"/>
  <c r="V77" i="3"/>
  <c r="U77" i="3"/>
  <c r="T77" i="3"/>
  <c r="S77" i="3"/>
  <c r="R77" i="3"/>
  <c r="B77" i="3"/>
  <c r="V76" i="3"/>
  <c r="U76" i="3"/>
  <c r="T76" i="3"/>
  <c r="S76" i="3"/>
  <c r="R76" i="3"/>
  <c r="B76" i="3"/>
  <c r="V75" i="3"/>
  <c r="U75" i="3"/>
  <c r="T75" i="3"/>
  <c r="S75" i="3"/>
  <c r="R75" i="3"/>
  <c r="B75" i="3"/>
  <c r="V74" i="3"/>
  <c r="U74" i="3"/>
  <c r="T74" i="3"/>
  <c r="S74" i="3"/>
  <c r="R74" i="3"/>
  <c r="B74" i="3"/>
  <c r="V73" i="3"/>
  <c r="U73" i="3"/>
  <c r="T73" i="3"/>
  <c r="S73" i="3"/>
  <c r="R73" i="3"/>
  <c r="B73" i="3"/>
  <c r="V72" i="3"/>
  <c r="U72" i="3"/>
  <c r="T72" i="3"/>
  <c r="S72" i="3"/>
  <c r="R72" i="3"/>
  <c r="B72" i="3"/>
  <c r="V71" i="3"/>
  <c r="U71" i="3"/>
  <c r="T71" i="3"/>
  <c r="S71" i="3"/>
  <c r="R71" i="3"/>
  <c r="B71" i="3"/>
  <c r="V70" i="3"/>
  <c r="U70" i="3"/>
  <c r="T70" i="3"/>
  <c r="S70" i="3"/>
  <c r="R70" i="3"/>
  <c r="B70" i="3"/>
  <c r="V69" i="3"/>
  <c r="U69" i="3"/>
  <c r="T69" i="3"/>
  <c r="S69" i="3"/>
  <c r="R69" i="3"/>
  <c r="B69" i="3"/>
  <c r="V68" i="3"/>
  <c r="U68" i="3"/>
  <c r="T68" i="3"/>
  <c r="S68" i="3"/>
  <c r="R68" i="3"/>
  <c r="B68" i="3"/>
  <c r="V67" i="3"/>
  <c r="U67" i="3"/>
  <c r="T67" i="3"/>
  <c r="S67" i="3"/>
  <c r="R67" i="3"/>
  <c r="B67" i="3"/>
  <c r="V66" i="3"/>
  <c r="U66" i="3"/>
  <c r="T66" i="3"/>
  <c r="S66" i="3"/>
  <c r="R66" i="3"/>
  <c r="B66" i="3"/>
  <c r="V65" i="3"/>
  <c r="U65" i="3"/>
  <c r="T65" i="3"/>
  <c r="S65" i="3"/>
  <c r="R65" i="3"/>
  <c r="B65" i="3"/>
  <c r="V64" i="3"/>
  <c r="U64" i="3"/>
  <c r="T64" i="3"/>
  <c r="S64" i="3"/>
  <c r="R64" i="3"/>
  <c r="B64" i="3"/>
  <c r="V63" i="3"/>
  <c r="U63" i="3"/>
  <c r="T63" i="3"/>
  <c r="S63" i="3"/>
  <c r="R63" i="3"/>
  <c r="B63" i="3"/>
  <c r="V62" i="3"/>
  <c r="U62" i="3"/>
  <c r="T62" i="3"/>
  <c r="S62" i="3"/>
  <c r="R62" i="3"/>
  <c r="B62" i="3"/>
  <c r="V61" i="3"/>
  <c r="U61" i="3"/>
  <c r="T61" i="3"/>
  <c r="S61" i="3"/>
  <c r="R61" i="3"/>
  <c r="B61" i="3"/>
  <c r="V60" i="3"/>
  <c r="U60" i="3"/>
  <c r="T60" i="3"/>
  <c r="S60" i="3"/>
  <c r="R60" i="3"/>
  <c r="B60" i="3"/>
  <c r="V59" i="3"/>
  <c r="U59" i="3"/>
  <c r="T59" i="3"/>
  <c r="S59" i="3"/>
  <c r="R59" i="3"/>
  <c r="B59" i="3"/>
  <c r="V58" i="3"/>
  <c r="U58" i="3"/>
  <c r="T58" i="3"/>
  <c r="S58" i="3"/>
  <c r="R58" i="3"/>
  <c r="B58" i="3"/>
  <c r="AB30" i="3"/>
  <c r="AA30" i="3"/>
  <c r="Z30" i="3"/>
  <c r="V57" i="3"/>
  <c r="U57" i="3"/>
  <c r="T57" i="3"/>
  <c r="S57" i="3"/>
  <c r="R57" i="3"/>
  <c r="B57" i="3"/>
  <c r="V56" i="3"/>
  <c r="U56" i="3"/>
  <c r="T56" i="3"/>
  <c r="S56" i="3"/>
  <c r="R56" i="3"/>
  <c r="B56" i="3"/>
  <c r="V55" i="3"/>
  <c r="U55" i="3"/>
  <c r="T55" i="3"/>
  <c r="S55" i="3"/>
  <c r="R55" i="3"/>
  <c r="B55" i="3"/>
  <c r="V54" i="3"/>
  <c r="U54" i="3"/>
  <c r="T54" i="3"/>
  <c r="S54" i="3"/>
  <c r="R54" i="3"/>
  <c r="B54" i="3"/>
  <c r="V53" i="3"/>
  <c r="U53" i="3"/>
  <c r="T53" i="3"/>
  <c r="S53" i="3"/>
  <c r="R53" i="3"/>
  <c r="B53" i="3"/>
  <c r="AD25" i="3"/>
  <c r="AD30" i="3" s="1"/>
  <c r="AB25" i="3"/>
  <c r="AA25" i="3"/>
  <c r="Z25" i="3"/>
  <c r="V52" i="3"/>
  <c r="U52" i="3"/>
  <c r="T52" i="3"/>
  <c r="S52" i="3"/>
  <c r="R52" i="3"/>
  <c r="B52" i="3"/>
  <c r="V51" i="3"/>
  <c r="U51" i="3"/>
  <c r="T51" i="3"/>
  <c r="S51" i="3"/>
  <c r="R51" i="3"/>
  <c r="B51" i="3"/>
  <c r="V50" i="3"/>
  <c r="U50" i="3"/>
  <c r="T50" i="3"/>
  <c r="S50" i="3"/>
  <c r="R50" i="3"/>
  <c r="B50" i="3"/>
  <c r="V49" i="3"/>
  <c r="U49" i="3"/>
  <c r="T49" i="3"/>
  <c r="S49" i="3"/>
  <c r="R49" i="3"/>
  <c r="B49" i="3"/>
  <c r="V48" i="3"/>
  <c r="U48" i="3"/>
  <c r="T48" i="3"/>
  <c r="S48" i="3"/>
  <c r="R48" i="3"/>
  <c r="B48" i="3"/>
  <c r="V47" i="3"/>
  <c r="U47" i="3"/>
  <c r="T47" i="3"/>
  <c r="S47" i="3"/>
  <c r="R47" i="3"/>
  <c r="B47" i="3"/>
  <c r="V46" i="3"/>
  <c r="U46" i="3"/>
  <c r="T46" i="3"/>
  <c r="S46" i="3"/>
  <c r="R46" i="3"/>
  <c r="B46" i="3"/>
  <c r="V45" i="3"/>
  <c r="U45" i="3"/>
  <c r="T45" i="3"/>
  <c r="S45" i="3"/>
  <c r="R45" i="3"/>
  <c r="B45" i="3"/>
  <c r="V44" i="3"/>
  <c r="U44" i="3"/>
  <c r="T44" i="3"/>
  <c r="S44" i="3"/>
  <c r="R44" i="3"/>
  <c r="B44" i="3"/>
  <c r="V43" i="3"/>
  <c r="U43" i="3"/>
  <c r="T43" i="3"/>
  <c r="S43" i="3"/>
  <c r="R43" i="3"/>
  <c r="B43" i="3"/>
  <c r="V42" i="3"/>
  <c r="U42" i="3"/>
  <c r="T42" i="3"/>
  <c r="S42" i="3"/>
  <c r="R42" i="3"/>
  <c r="B42" i="3"/>
  <c r="V41" i="3"/>
  <c r="U41" i="3"/>
  <c r="T41" i="3"/>
  <c r="S41" i="3"/>
  <c r="R41" i="3"/>
  <c r="B41" i="3"/>
  <c r="V40" i="3"/>
  <c r="U40" i="3"/>
  <c r="T40" i="3"/>
  <c r="S40" i="3"/>
  <c r="R40" i="3"/>
  <c r="B40" i="3"/>
  <c r="V39" i="3"/>
  <c r="U39" i="3"/>
  <c r="T39" i="3"/>
  <c r="S39" i="3"/>
  <c r="R39" i="3"/>
  <c r="B39" i="3"/>
  <c r="V38" i="3"/>
  <c r="U38" i="3"/>
  <c r="T38" i="3"/>
  <c r="S38" i="3"/>
  <c r="R38" i="3"/>
  <c r="B38" i="3"/>
  <c r="V37" i="3"/>
  <c r="U37" i="3"/>
  <c r="T37" i="3"/>
  <c r="S37" i="3"/>
  <c r="R37" i="3"/>
  <c r="B37" i="3"/>
  <c r="V36" i="3"/>
  <c r="U36" i="3"/>
  <c r="T36" i="3"/>
  <c r="S36" i="3"/>
  <c r="R36" i="3"/>
  <c r="B36" i="3"/>
  <c r="V35" i="3"/>
  <c r="U35" i="3"/>
  <c r="T35" i="3"/>
  <c r="S35" i="3"/>
  <c r="R35" i="3"/>
  <c r="B35" i="3"/>
  <c r="V34" i="3"/>
  <c r="U34" i="3"/>
  <c r="T34" i="3"/>
  <c r="S34" i="3"/>
  <c r="R34" i="3"/>
  <c r="B34" i="3"/>
  <c r="V33" i="3"/>
  <c r="U33" i="3"/>
  <c r="T33" i="3"/>
  <c r="S33" i="3"/>
  <c r="R33" i="3"/>
  <c r="B33" i="3"/>
  <c r="V32" i="3"/>
  <c r="U32" i="3"/>
  <c r="T32" i="3"/>
  <c r="S32" i="3"/>
  <c r="R32" i="3"/>
  <c r="B32" i="3"/>
  <c r="V31" i="3"/>
  <c r="U31" i="3"/>
  <c r="T31" i="3"/>
  <c r="S31" i="3"/>
  <c r="R31" i="3"/>
  <c r="B31" i="3"/>
  <c r="AD20" i="3"/>
  <c r="V30" i="3"/>
  <c r="U30" i="3"/>
  <c r="T30" i="3"/>
  <c r="S30" i="3"/>
  <c r="R30" i="3"/>
  <c r="B30" i="3"/>
  <c r="V29" i="3"/>
  <c r="U29" i="3"/>
  <c r="T29" i="3"/>
  <c r="S29" i="3"/>
  <c r="R29" i="3"/>
  <c r="B29" i="3"/>
  <c r="V28" i="3"/>
  <c r="U28" i="3"/>
  <c r="T28" i="3"/>
  <c r="S28" i="3"/>
  <c r="R28" i="3"/>
  <c r="B28" i="3"/>
  <c r="V27" i="3"/>
  <c r="U27" i="3"/>
  <c r="T27" i="3"/>
  <c r="S27" i="3"/>
  <c r="R27" i="3"/>
  <c r="B27" i="3"/>
  <c r="V26" i="3"/>
  <c r="U26" i="3"/>
  <c r="T26" i="3"/>
  <c r="S26" i="3"/>
  <c r="R26" i="3"/>
  <c r="B26" i="3"/>
  <c r="V25" i="3"/>
  <c r="U25" i="3"/>
  <c r="T25" i="3"/>
  <c r="S25" i="3"/>
  <c r="R25" i="3"/>
  <c r="B25" i="3"/>
  <c r="V24" i="3"/>
  <c r="U24" i="3"/>
  <c r="T24" i="3"/>
  <c r="S24" i="3"/>
  <c r="R24" i="3"/>
  <c r="B24" i="3"/>
  <c r="V23" i="3"/>
  <c r="U23" i="3"/>
  <c r="T23" i="3"/>
  <c r="S23" i="3"/>
  <c r="R23" i="3"/>
  <c r="B23" i="3"/>
  <c r="V22" i="3"/>
  <c r="U22" i="3"/>
  <c r="T22" i="3"/>
  <c r="S22" i="3"/>
  <c r="R22" i="3"/>
  <c r="B22" i="3"/>
  <c r="V21" i="3"/>
  <c r="U21" i="3"/>
  <c r="T21" i="3"/>
  <c r="S21" i="3"/>
  <c r="R21" i="3"/>
  <c r="B21" i="3"/>
  <c r="V20" i="3"/>
  <c r="U20" i="3"/>
  <c r="T20" i="3"/>
  <c r="S20" i="3"/>
  <c r="R20" i="3"/>
  <c r="B20" i="3"/>
  <c r="V19" i="3"/>
  <c r="U19" i="3"/>
  <c r="T19" i="3"/>
  <c r="S19" i="3"/>
  <c r="R19" i="3"/>
  <c r="B19" i="3"/>
  <c r="V18" i="3"/>
  <c r="U18" i="3"/>
  <c r="T18" i="3"/>
  <c r="S18" i="3"/>
  <c r="R18" i="3"/>
  <c r="B18" i="3"/>
  <c r="Y17" i="3"/>
  <c r="AB17" i="3" s="1"/>
  <c r="V17" i="3"/>
  <c r="U17" i="3"/>
  <c r="T17" i="3"/>
  <c r="S17" i="3"/>
  <c r="R17" i="3"/>
  <c r="B17" i="3"/>
  <c r="V16" i="3"/>
  <c r="U16" i="3"/>
  <c r="T16" i="3"/>
  <c r="S16" i="3"/>
  <c r="R16" i="3"/>
  <c r="B16" i="3"/>
  <c r="AD15" i="3"/>
  <c r="AC15" i="3"/>
  <c r="AB15" i="3"/>
  <c r="Y15" i="3"/>
  <c r="AA15" i="3" s="1"/>
  <c r="V15" i="3"/>
  <c r="U15" i="3"/>
  <c r="T15" i="3"/>
  <c r="S15" i="3"/>
  <c r="R15" i="3"/>
  <c r="B15" i="3"/>
  <c r="AD14" i="3"/>
  <c r="AC14" i="3"/>
  <c r="AB14" i="3"/>
  <c r="AC33" i="3" s="1"/>
  <c r="Y14" i="3"/>
  <c r="AA14" i="3" s="1"/>
  <c r="AA33" i="3" s="1"/>
  <c r="V14" i="3"/>
  <c r="U14" i="3"/>
  <c r="T14" i="3"/>
  <c r="S14" i="3"/>
  <c r="R14" i="3"/>
  <c r="B14" i="3"/>
  <c r="AD13" i="3"/>
  <c r="AC13" i="3"/>
  <c r="AB13" i="3"/>
  <c r="Y13" i="3"/>
  <c r="AA13" i="3" s="1"/>
  <c r="V13" i="3"/>
  <c r="U13" i="3"/>
  <c r="T13" i="3"/>
  <c r="S13" i="3"/>
  <c r="R13" i="3"/>
  <c r="B13" i="3"/>
  <c r="AD12" i="3"/>
  <c r="AC12" i="3"/>
  <c r="AB12" i="3"/>
  <c r="Y12" i="3"/>
  <c r="AA12" i="3" s="1"/>
  <c r="V12" i="3"/>
  <c r="U12" i="3"/>
  <c r="T12" i="3"/>
  <c r="S12" i="3"/>
  <c r="R12" i="3"/>
  <c r="B12" i="3"/>
  <c r="AD11" i="3"/>
  <c r="AC11" i="3"/>
  <c r="AB11" i="3"/>
  <c r="Y11" i="3"/>
  <c r="AA11" i="3" s="1"/>
  <c r="V11" i="3"/>
  <c r="U11" i="3"/>
  <c r="T11" i="3"/>
  <c r="S11" i="3"/>
  <c r="R11" i="3"/>
  <c r="B11" i="3"/>
  <c r="AD10" i="3"/>
  <c r="AC10" i="3"/>
  <c r="AB10" i="3"/>
  <c r="Y10" i="3"/>
  <c r="AA10" i="3" s="1"/>
  <c r="V10" i="3"/>
  <c r="U10" i="3"/>
  <c r="T10" i="3"/>
  <c r="S10" i="3"/>
  <c r="R10" i="3"/>
  <c r="B10" i="3"/>
  <c r="B9" i="3"/>
  <c r="AD8" i="3"/>
  <c r="AC8" i="3"/>
  <c r="AC25" i="3" s="1"/>
  <c r="AC30" i="3" s="1"/>
  <c r="AB8" i="3"/>
  <c r="AA8" i="3"/>
  <c r="Z8" i="3"/>
  <c r="P8" i="3"/>
  <c r="O8" i="3"/>
  <c r="N8" i="3"/>
  <c r="M8" i="3"/>
  <c r="L8" i="3"/>
  <c r="K8" i="3"/>
  <c r="J8" i="3"/>
  <c r="I8" i="3" s="1"/>
  <c r="H8" i="3" s="1"/>
  <c r="G8" i="3" s="1"/>
  <c r="F8" i="3" s="1"/>
  <c r="E8" i="3" s="1"/>
  <c r="B2" i="3"/>
  <c r="AC17" i="3" l="1"/>
  <c r="AD17" i="3"/>
  <c r="AD33" i="3"/>
  <c r="AC16" i="3"/>
  <c r="AC34" i="3" s="1"/>
  <c r="AD16" i="3"/>
  <c r="AB32" i="3"/>
  <c r="AD34" i="3"/>
  <c r="AD31" i="3"/>
  <c r="AA16" i="3"/>
  <c r="AB33" i="3"/>
  <c r="AB16" i="3"/>
  <c r="AB18" i="3" s="1"/>
  <c r="Z20" i="3"/>
  <c r="AA20" i="3"/>
  <c r="AA32" i="3"/>
  <c r="AC32" i="3"/>
  <c r="AB20" i="3"/>
  <c r="AD32" i="3"/>
  <c r="AC20" i="3"/>
  <c r="Z17" i="3"/>
  <c r="Z10" i="3"/>
  <c r="Z11" i="3"/>
  <c r="Z12" i="3"/>
  <c r="Z13" i="3"/>
  <c r="Z14" i="3"/>
  <c r="Z15" i="3"/>
  <c r="AA17" i="3"/>
  <c r="AA18" i="3" l="1"/>
  <c r="AC18" i="3"/>
  <c r="AD18" i="3"/>
  <c r="AD21" i="3" s="1"/>
  <c r="AD23" i="3"/>
  <c r="AC23" i="3"/>
  <c r="AC21" i="3"/>
  <c r="AB23" i="3"/>
  <c r="AB21" i="3"/>
  <c r="AA23" i="3"/>
  <c r="AA21" i="3"/>
  <c r="Z32" i="3"/>
  <c r="Z33" i="3"/>
  <c r="AC31" i="3"/>
  <c r="AB34" i="3"/>
  <c r="Z16" i="3"/>
  <c r="Z18" i="3" s="1"/>
  <c r="AB31" i="3"/>
  <c r="AA34" i="3"/>
  <c r="AA31" i="3"/>
  <c r="Z23" i="3" l="1"/>
  <c r="Z21" i="3"/>
  <c r="Z34" i="3"/>
  <c r="Z35" i="3" s="1"/>
  <c r="Z31" i="3"/>
  <c r="D69" i="2" l="1"/>
  <c r="D70" i="2" l="1"/>
  <c r="E70" i="2" s="1"/>
  <c r="E14" i="1" l="1"/>
  <c r="E13" i="1"/>
  <c r="E12" i="1"/>
  <c r="E11" i="1"/>
  <c r="E10" i="1"/>
  <c r="E9" i="1"/>
  <c r="E8" i="1"/>
  <c r="E15" i="1" s="1"/>
  <c r="E16" i="1" s="1"/>
  <c r="D37" i="2"/>
  <c r="E37" i="2" s="1"/>
  <c r="Z36" i="3"/>
  <c r="Z27" i="3"/>
  <c r="Z28" i="3" s="1"/>
  <c r="AC36" i="3"/>
  <c r="AA27" i="3"/>
  <c r="AA28" i="3" s="1"/>
  <c r="AB27" i="3"/>
  <c r="AB28" i="3" s="1"/>
  <c r="AC27" i="3"/>
  <c r="AC28" i="3" s="1"/>
  <c r="AA36" i="3"/>
  <c r="AB36" i="3"/>
  <c r="AD27" i="3"/>
  <c r="AD28" i="3" s="1"/>
  <c r="AD36" i="3"/>
  <c r="Z37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<sst xmlns="http://schemas.openxmlformats.org/spreadsheetml/2006/main" count="322" uniqueCount="245">
  <si>
    <t>Trend Health Score — Complete Subitem Anchors (1–5)</t>
  </si>
  <si>
    <t>1. NOI Trend</t>
  </si>
  <si>
    <t>Score</t>
  </si>
  <si>
    <t>Interpretation</t>
  </si>
  <si>
    <t>T-3 &lt; T-6 &lt; T-12</t>
  </si>
  <si>
    <t>Accelerating improvement across all periods.</t>
  </si>
  <si>
    <t>T-3 &lt; T-6 = T-12</t>
  </si>
  <si>
    <t>Recent improvement with prior stability.</t>
  </si>
  <si>
    <t>T-3 = T-6 = T-12</t>
  </si>
  <si>
    <t>Flat across all periods / mixed signals.</t>
  </si>
  <si>
    <t xml:space="preserve">T-3 &gt; T-6 = T-12 </t>
  </si>
  <si>
    <t>Recent decline with prior stability.</t>
  </si>
  <si>
    <t xml:space="preserve">T-3 &gt; T-6 &gt; T-12 </t>
  </si>
  <si>
    <t>Accelerating deterioration across all periods.</t>
  </si>
  <si>
    <t>2. Economic Occupancy</t>
  </si>
  <si>
    <t>&gt;=95%</t>
  </si>
  <si>
    <t>Near-perfect collections; revenue base stable with minimal leakage.</t>
  </si>
  <si>
    <t>92%-94%</t>
  </si>
  <si>
    <t>Strong collections; NOI is predictable and reliable.</t>
  </si>
  <si>
    <t>88%-91%</t>
  </si>
  <si>
    <t>Meaningful revenue leakage; improvement required to hit proforma.</t>
  </si>
  <si>
    <t>85%-87%</t>
  </si>
  <si>
    <t>Material shortfall; NOI cushion being eroded.</t>
  </si>
  <si>
    <t>&lt;85%</t>
  </si>
  <si>
    <t>Well below stabilized levels; proforma NOI assumptions at risk.</t>
  </si>
  <si>
    <t>3. Concessions</t>
  </si>
  <si>
    <t>&lt;=0.5%</t>
  </si>
  <si>
    <t>No concessions; effective rents equal face rents.</t>
  </si>
  <si>
    <t>0.6%-1.0%</t>
  </si>
  <si>
    <t>Minimal drag; negligible impact on effective revenue.</t>
  </si>
  <si>
    <t>1.1%-2.0%</t>
  </si>
  <si>
    <t>Competitive pressure present; underwrite rents net of concessions.</t>
  </si>
  <si>
    <t>2.1%-3.0%</t>
  </si>
  <si>
    <t>Material drag on revenue; operating improvement needed.</t>
  </si>
  <si>
    <t>&gt;3.0%</t>
  </si>
  <si>
    <t>Effective rents well below asking; market signaling structural weakness.</t>
  </si>
  <si>
    <t>4. Bad Debt</t>
  </si>
  <si>
    <t>Negligible losses; tenant quality and enforcement are strong.</t>
  </si>
  <si>
    <t>Normal range; no systemic collections issues.</t>
  </si>
  <si>
    <t>Elevated; active monitoring required to protect NOI.</t>
  </si>
  <si>
    <t>Meaningful revenue loss; collections or tenant quality needs addressing.</t>
  </si>
  <si>
    <t>NOI materially impaired; likely signals deeper credit or eviction risk.</t>
  </si>
  <si>
    <t>5. Revenue Trend</t>
  </si>
  <si>
    <t>Metric</t>
  </si>
  <si>
    <t>Weight</t>
  </si>
  <si>
    <t>Composite Score (weighted avg)</t>
  </si>
  <si>
    <t>Definition</t>
  </si>
  <si>
    <t>6. Trade-Out Rent Directions</t>
  </si>
  <si>
    <t>7. Effective Rents</t>
  </si>
  <si>
    <t>≥ +5%</t>
  </si>
  <si>
    <t>In-place rents 5%+ below market; upside available without outperformance.</t>
  </si>
  <si>
    <t>+2% – +4.9%</t>
  </si>
  <si>
    <t>2–5% below market; rent-growth runway through natural rollover.</t>
  </si>
  <si>
    <t>0% – +1.9%</t>
  </si>
  <si>
    <t>At-market; growth depends entirely on market appreciation.</t>
  </si>
  <si>
    <t>–4% – –0.1%</t>
  </si>
  <si>
    <t>Slightly above market; renewals may face resistance on rollover.</t>
  </si>
  <si>
    <t>&lt; –4%</t>
  </si>
  <si>
    <t>Well above market; reversion pressure will compress revenue on turnover.</t>
  </si>
  <si>
    <t>Property Name</t>
  </si>
  <si>
    <t>Market / Submarket</t>
  </si>
  <si>
    <t>As-Of Date</t>
  </si>
  <si>
    <t>Data Used</t>
  </si>
  <si>
    <t>T12 + Rent Roll</t>
  </si>
  <si>
    <t>Weight (%)</t>
  </si>
  <si>
    <t>Score (1–5)</t>
  </si>
  <si>
    <t>Weighted Points</t>
  </si>
  <si>
    <t>Trend Direction</t>
  </si>
  <si>
    <t>Notes / Evidence</t>
  </si>
  <si>
    <t>Net Operating Income (NOI)</t>
  </si>
  <si>
    <t>Economic Occupancy</t>
  </si>
  <si>
    <t>Concessions % of GPR</t>
  </si>
  <si>
    <t>Bad Debt % of GPR</t>
  </si>
  <si>
    <t>Revenue Trend</t>
  </si>
  <si>
    <t>Trade-Out Rent Directions</t>
  </si>
  <si>
    <t>In-Place Rent vs Market</t>
  </si>
  <si>
    <t>Total Trend Health Score</t>
  </si>
  <si>
    <t>Trend Health Band</t>
  </si>
  <si>
    <t>* The score must be ≥50 and the IRR must be ≥12%. Only one metric is allowed to fall below 50.</t>
  </si>
  <si>
    <t>* Use OM assumptions at this stage to calculate the IRR at quick UW stage.</t>
  </si>
  <si>
    <t>≥ 3.0%</t>
  </si>
  <si>
    <t>1.0% – 2.9%</t>
  </si>
  <si>
    <t>0.0% – 0.9%</t>
  </si>
  <si>
    <t>−2.0% – −0.1%</t>
  </si>
  <si>
    <t>&lt; −2.0%</t>
  </si>
  <si>
    <t>Outpacing typical market rent growth — meaningful upside present.</t>
  </si>
  <si>
    <t>Positive and credible — within normal healthy range.</t>
  </si>
  <si>
    <t>Growth stalled. Proforma rent bumps require active intervention.</t>
  </si>
  <si>
    <t>Losing ground slowly. Model conservatively; discount rent growth assumptions.</t>
  </si>
  <si>
    <t>Material deterioration. Rent growth assumptions need steep discount or elimination.</t>
  </si>
  <si>
    <t>2. Rental Growth (%)</t>
  </si>
  <si>
    <t>1. Rental Trend</t>
  </si>
  <si>
    <t>Rental Trend</t>
  </si>
  <si>
    <t>Rental Growth (%)</t>
  </si>
  <si>
    <t>Other Income Trend</t>
  </si>
  <si>
    <t>Other Income Growth (%)</t>
  </si>
  <si>
    <t>3. Other Income Trend</t>
  </si>
  <si>
    <t>4. Other Income Growth (%)</t>
  </si>
  <si>
    <t>≥ 5.0%</t>
  </si>
  <si>
    <t>1.0% – 4.9%</t>
  </si>
  <si>
    <t>−1.0% – 0.9%</t>
  </si>
  <si>
    <t>−4.0% – −1.1%</t>
  </si>
  <si>
    <t>&lt; −4.0%</t>
  </si>
  <si>
    <t>T3 &gt; T6 &gt; T12</t>
  </si>
  <si>
    <t>Accelerating growth across all periods — each recent window outperforms the prior. Strongest positive signal.</t>
  </si>
  <si>
    <t>T3 &gt; T6 ≈ T12</t>
  </si>
  <si>
    <t>Recent improvement over a stable baseline — growth is emerging. Positive leading signal.</t>
  </si>
  <si>
    <t>T3 ≈ T6 ≈ T12</t>
  </si>
  <si>
    <t>Flat or mixed — no clear directional trend. Cannot confirm improvement or decline.</t>
  </si>
  <si>
    <t>T3 &lt; T6 ≈ T12</t>
  </si>
  <si>
    <t>Recent decline from a previously stable base — early warning signal. Stress-test recovery.</t>
  </si>
  <si>
    <t>T3 &lt; T6 &lt; T12</t>
  </si>
  <si>
    <t>Accelerating deterioration across all periods — decline is worsening. Heavily discount rent growth assumptions.</t>
  </si>
  <si>
    <t>Ancillary income accelerating across all periods — strong secondary signal.</t>
  </si>
  <si>
    <t>Recent pickup over a stable base — positive but lower conviction given line volatility.</t>
  </si>
  <si>
    <t>Flat or mixed — treat as neutral. Common for other income; do not penalise in isolation.</t>
  </si>
  <si>
    <t>Recent dip from a stable base — monitor for fee erosion or concession creep.</t>
  </si>
  <si>
    <t>Declining across all periods — flag for review alongside rental trend</t>
  </si>
  <si>
    <t>Strong ancillary growth — fees and other sources meaningfully expanding. Positive secondary signal.</t>
  </si>
  <si>
    <t>Healthy and within normal range for other income. No action needed.</t>
  </si>
  <si>
    <t>Flat — minor swings are normal for this line. Treat as neutral; do not penalise.</t>
  </si>
  <si>
    <t>Moderate decline — low concern at 10% weight, but note alongside rental trend.</t>
  </si>
  <si>
    <t>Significant deterioration — flag for review. Investigate fee erosion or structural income loss.</t>
  </si>
  <si>
    <t>Formula: (T3 Other Income - T12 Other Income) / T12 Other Income</t>
  </si>
  <si>
    <t>Formula: Effective Income / Gross Potential Rent</t>
  </si>
  <si>
    <t>Formula: Concessions / Gross Potential Rent</t>
  </si>
  <si>
    <t>Formula: Bad Debts / Gross Potential Rent</t>
  </si>
  <si>
    <t>Note: Look at the NOI Trend from T12</t>
  </si>
  <si>
    <t>Formula: (T3 rents- T12 rents) / T12 rents</t>
  </si>
  <si>
    <t>Note: Look at the other income trend from T12</t>
  </si>
  <si>
    <t>Trade-Out Breadth</t>
  </si>
  <si>
    <t>≥ 80% of floor plans positive</t>
  </si>
  <si>
    <t>Trade-out growth is broad-based — nearly all floor plan types are achieving new lease premiums.</t>
  </si>
  <si>
    <t>60% – 79% of floor plans positive</t>
  </si>
  <si>
    <t>Majority of floor plans winning on turnover — isolated weakness but overall healthy.</t>
  </si>
  <si>
    <t>40% – 59% of floor plans positive</t>
  </si>
  <si>
    <t>Roughly split — no clear directional signal. Growth is floor-plan dependent, not property-wide.</t>
  </si>
  <si>
    <t>25% – 39% of floor plans positive</t>
  </si>
  <si>
    <t>Most floor plans pricing down on turnover — effective rent eroding across the majority of the unit mix.</t>
  </si>
  <si>
    <t>&lt; 25% of floor plans positive</t>
  </si>
  <si>
    <t>Near-universal negative trade-out — demand weakness or oversupply pressuring rents across all unit types.</t>
  </si>
  <si>
    <t>1. Trade-Out Breadth</t>
  </si>
  <si>
    <t>≥ +3%</t>
  </si>
  <si>
    <t>New leases commanding a strong premium over renewals — meaningful rent growth being captured on turnover.</t>
  </si>
  <si>
    <t>+1% – +2.9%</t>
  </si>
  <si>
    <t>New leases ahead of renewals — healthy spread within normal market range.</t>
  </si>
  <si>
    <t>0% – +0.9%</t>
  </si>
  <si>
    <t>New leases roughly matching renewals — minimal premium being captured on turnover.</t>
  </si>
  <si>
    <t>−2% – −0.1%</t>
  </si>
  <si>
    <t>New leases pricing below renewals — conceding ground on turnover. Discount forward rent assumptions.</t>
  </si>
  <si>
    <t>≤ −2%</t>
  </si>
  <si>
    <t>New leases significantly below renewals — revenue under material pressure on every lease-up.</t>
  </si>
  <si>
    <t>Trade-Out Spread</t>
  </si>
  <si>
    <t>2. Trade-Out Spread</t>
  </si>
  <si>
    <t>Source: T12</t>
  </si>
  <si>
    <t>Source: Rent Roll UW</t>
  </si>
  <si>
    <t>Note: Look at the rental trend from T12 metrics table</t>
  </si>
  <si>
    <t>Source: T12 metric table</t>
  </si>
  <si>
    <t>Property:</t>
  </si>
  <si>
    <t>Period:</t>
  </si>
  <si>
    <t>T12 As Of Date:</t>
  </si>
  <si>
    <t>Total</t>
  </si>
  <si>
    <t>Category</t>
  </si>
  <si>
    <t>Particulars</t>
  </si>
  <si>
    <t>T12</t>
  </si>
  <si>
    <t>T9</t>
  </si>
  <si>
    <t>T6</t>
  </si>
  <si>
    <t>T3</t>
  </si>
  <si>
    <t>T1</t>
  </si>
  <si>
    <t>LIST DO NOT DELETE</t>
  </si>
  <si>
    <t>Gross Potential Rents</t>
  </si>
  <si>
    <t>Less: Vacancy Loss</t>
  </si>
  <si>
    <t>Less: Loss to Lease</t>
  </si>
  <si>
    <t>Less: Non-Revenue Units</t>
  </si>
  <si>
    <t>Less: Bad Debt</t>
  </si>
  <si>
    <t>Less: Concessions</t>
  </si>
  <si>
    <t>Total Effective Income</t>
  </si>
  <si>
    <t>Total Income</t>
  </si>
  <si>
    <t>NOI Before CapEx</t>
  </si>
  <si>
    <t>Expense Ratio</t>
  </si>
  <si>
    <t>NOI Reconciliation</t>
  </si>
  <si>
    <t>Source NOI (from T12 data)</t>
  </si>
  <si>
    <t>Model NOI After CapEx</t>
  </si>
  <si>
    <t>Check</t>
  </si>
  <si>
    <t>Economic Occupancy (%)</t>
  </si>
  <si>
    <t>Concessions (% of GPR)</t>
  </si>
  <si>
    <t>Bad Debt (% of GPR)</t>
  </si>
  <si>
    <t>Rent Roll Date:</t>
  </si>
  <si>
    <t>0 to 90 Days</t>
  </si>
  <si>
    <t>0 to 60 Days</t>
  </si>
  <si>
    <t>0 to 30 days</t>
  </si>
  <si>
    <t>Rent Growth %</t>
  </si>
  <si>
    <t>New &amp; Renewed Lease Analysis</t>
  </si>
  <si>
    <t>-</t>
  </si>
  <si>
    <t>Unit No</t>
  </si>
  <si>
    <t>Unit Type</t>
  </si>
  <si>
    <t>Renovation</t>
  </si>
  <si>
    <t>Unit Type+ Mix</t>
  </si>
  <si>
    <t>Unit Mix</t>
  </si>
  <si>
    <t>Size</t>
  </si>
  <si>
    <t>Move in Date</t>
  </si>
  <si>
    <t>Lease start date</t>
  </si>
  <si>
    <t>Lease End date</t>
  </si>
  <si>
    <t>Lease Start Month</t>
  </si>
  <si>
    <t>Lease End Month</t>
  </si>
  <si>
    <t>Resident Name</t>
  </si>
  <si>
    <t>Market Rent as per RR</t>
  </si>
  <si>
    <t>Effective Rents</t>
  </si>
  <si>
    <t>Renewed/New Lease</t>
  </si>
  <si>
    <t>Beds</t>
  </si>
  <si>
    <t>Units</t>
  </si>
  <si>
    <t>Vacant Units</t>
  </si>
  <si>
    <t>SF</t>
  </si>
  <si>
    <t>Effective Rent</t>
  </si>
  <si>
    <t>Market Rent</t>
  </si>
  <si>
    <t>Growth %</t>
  </si>
  <si>
    <t>Flag</t>
  </si>
  <si>
    <t>Number of New Leases</t>
  </si>
  <si>
    <t>Effective Rent (New Lease)</t>
  </si>
  <si>
    <t>Number of Renewed Leases</t>
  </si>
  <si>
    <t>Effective Rent (Renewed Lease)</t>
  </si>
  <si>
    <t>Tradeout Spread</t>
  </si>
  <si>
    <t>Averages per Unit</t>
  </si>
  <si>
    <t>POSITIVE</t>
  </si>
  <si>
    <t>Vacancy</t>
  </si>
  <si>
    <t>Occupancy</t>
  </si>
  <si>
    <t>LTL %</t>
  </si>
  <si>
    <t>LTL % (90 Days)</t>
  </si>
  <si>
    <t>LTL % (60 Days)</t>
  </si>
  <si>
    <t>LTL %(30 Days)</t>
  </si>
  <si>
    <t>Rent Roll Verification — Source vs. Calculated</t>
  </si>
  <si>
    <t>From Source</t>
  </si>
  <si>
    <t>Calculated</t>
  </si>
  <si>
    <t>Match?</t>
  </si>
  <si>
    <t>Number of Units</t>
  </si>
  <si>
    <t>Total Market Rent (per RR)</t>
  </si>
  <si>
    <t>Total Rent Charges (Eff.)</t>
  </si>
  <si>
    <t>Total Square Footage</t>
  </si>
  <si>
    <t>Trend Health Score Metric</t>
  </si>
  <si>
    <t>Tradeout Breadth</t>
  </si>
  <si>
    <t>% POSITIVE</t>
  </si>
  <si>
    <t>Rental Growth (%) (T3 trend over T12)</t>
  </si>
  <si>
    <t>Other Income Growth (%) (T3 trend over T12)</t>
  </si>
  <si>
    <t>Other Income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</si>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</sst>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0.0"/>
    <numFmt numFmtId="165" formatCode="[$-409]mmm/yy;@"/>
    <numFmt numFmtId="166" formatCode="_(* #,##0_);_(* \(#,##0\);_(* &quot;-&quot;??_);_(@_)"/>
    <numFmt numFmtId="167" formatCode="_(&quot;$&quot;#,##0_);_(&quot;$&quot;\(#,##0\);_(&quot;-&quot;??_);_(@_)"/>
    <numFmt numFmtId="168" formatCode="&quot;$&quot;#,##0"/>
    <numFmt numFmtId="169" formatCode="[$-409]mmm\-yy;@"/>
    <numFmt numFmtId="170" formatCode="[$-409]d\-mmm\-yy;@"/>
    <numFmt numFmtId="171" formatCode="0\ &quot;BR&quot;"/>
    <numFmt numFmtId="172" formatCode="\$#,##0"/>
    <numFmt numFmtId="173" formatCode="0.0%"/>
    <numFmt numFmtId="174" formatCode="#,##0\ &quot;SF&quot;"/>
  </numFmts>
  <fonts count="4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3"/>
      <color rgb="FFFFFFFF"/>
      <name val="Arial"/>
      <family val="2"/>
    </font>
    <font>
      <b/>
      <sz val="9"/>
      <color rgb="FF1F3A5F"/>
      <name val="Arial"/>
      <family val="2"/>
    </font>
    <font>
      <b/>
      <sz val="8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1F3A5F"/>
      <name val="Arial"/>
      <family val="2"/>
    </font>
    <font>
      <b/>
      <sz val="13"/>
      <color rgb="FF1F3A5F"/>
      <name val="Arial"/>
      <family val="2"/>
    </font>
    <font>
      <i/>
      <sz val="8"/>
      <color rgb="FF7D6608"/>
      <name val="Arial"/>
      <family val="2"/>
    </font>
    <font>
      <b/>
      <sz val="9"/>
      <color rgb="FFFFFFFF"/>
      <name val="Arial"/>
      <family val="2"/>
    </font>
    <font>
      <b/>
      <sz val="9"/>
      <color rgb="FF363735"/>
      <name val="Arial"/>
      <family val="2"/>
    </font>
    <font>
      <sz val="9"/>
      <color rgb="FF363735"/>
      <name val="Arial"/>
      <family val="2"/>
    </font>
    <font>
      <i/>
      <sz val="8"/>
      <color rgb="FF555555"/>
      <name val="Arial"/>
      <family val="2"/>
    </font>
    <font>
      <b/>
      <sz val="10"/>
      <color rgb="FFFFFFFF"/>
      <name val="Arial"/>
      <family val="2"/>
    </font>
    <font>
      <b/>
      <sz val="13"/>
      <name val="Arial"/>
      <family val="2"/>
    </font>
    <font>
      <b/>
      <sz val="9"/>
      <color rgb="FF363735"/>
      <name val="Arial"/>
      <family val="2"/>
    </font>
    <font>
      <sz val="9"/>
      <color rgb="FF363735"/>
      <name val="Arial"/>
      <family val="2"/>
    </font>
    <font>
      <b/>
      <sz val="9"/>
      <color rgb="FFFFFFFF"/>
      <name val="Arial"/>
      <family val="2"/>
    </font>
    <font>
      <i/>
      <sz val="8"/>
      <color rgb="FF80808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9"/>
      <color rgb="FF1A1A1A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3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name val="Calibri"/>
      <family val="2"/>
      <scheme val="minor"/>
    </font>
    <font>
      <i/>
      <sz val="8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FFFF"/>
      <name val="Calibri"/>
      <family val="2"/>
      <scheme val="minor"/>
    </font>
    <font>
      <sz val="9"/>
      <color rgb="FF1A1A1A"/>
      <name val="Arial"/>
      <family val="2"/>
    </font>
    <font>
      <sz val="8"/>
      <color rgb="FF1A1A1A"/>
      <name val="Arial"/>
      <family val="2"/>
    </font>
    <font>
      <i/>
      <sz val="8"/>
      <color rgb="FF1A1A1A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363735"/>
      </patternFill>
    </fill>
    <fill>
      <patternFill patternType="solid">
        <fgColor rgb="FFEFF5FB"/>
      </patternFill>
    </fill>
    <fill>
      <patternFill patternType="solid">
        <fgColor rgb="FFE8EAF5"/>
      </patternFill>
    </fill>
    <fill>
      <patternFill patternType="solid">
        <fgColor rgb="FF363735"/>
        <bgColor rgb="FF333300"/>
      </patternFill>
    </fill>
    <fill>
      <patternFill patternType="solid">
        <fgColor rgb="FFDFF0D8"/>
        <bgColor rgb="FFE8EAF5"/>
      </patternFill>
    </fill>
    <fill>
      <patternFill patternType="solid">
        <fgColor rgb="FFFFF3CD"/>
        <bgColor rgb="FFFFF2CC"/>
      </patternFill>
    </fill>
    <fill>
      <patternFill patternType="solid">
        <fgColor rgb="FFFCDCDC"/>
        <bgColor rgb="FFFCE4D6"/>
      </patternFill>
    </fill>
    <fill>
      <patternFill patternType="solid">
        <fgColor rgb="FFF2F0EF"/>
        <bgColor rgb="FFF2F2F2"/>
      </patternFill>
    </fill>
    <fill>
      <patternFill patternType="solid">
        <fgColor rgb="FFE8EAF5"/>
        <bgColor rgb="FFE8EDF8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rgb="FFF4F8FD"/>
      </patternFill>
    </fill>
    <fill>
      <patternFill patternType="solid">
        <fgColor theme="0" tint="-4.9989318521683403E-2"/>
        <bgColor indexed="64"/>
      </patternFill>
    </fill>
  </fills>
  <borders count="73">
    <border>
      <left/>
      <right/>
      <top/>
      <bottom/>
      <diagonal/>
    </border>
    <border>
      <left/>
      <right/>
      <top/>
      <bottom/>
      <diagonal/>
    </border>
    <border>
      <left style="thin">
        <color rgb="FFB8C4D4"/>
      </left>
      <right style="thin">
        <color rgb="FFB8C4D4"/>
      </right>
      <top style="thin">
        <color rgb="FFB8C4D4"/>
      </top>
      <bottom style="thin">
        <color rgb="FFB8C4D4"/>
      </bottom>
      <diagonal/>
    </border>
    <border>
      <left style="thin">
        <color indexed="64"/>
      </left>
      <right style="thin">
        <color rgb="FFB8C4D4"/>
      </right>
      <top style="thin">
        <color indexed="64"/>
      </top>
      <bottom style="thin">
        <color rgb="FFB8C4D4"/>
      </bottom>
      <diagonal/>
    </border>
    <border>
      <left style="thin">
        <color rgb="FFB8C4D4"/>
      </left>
      <right style="thin">
        <color rgb="FFB8C4D4"/>
      </right>
      <top style="thin">
        <color indexed="64"/>
      </top>
      <bottom style="thin">
        <color rgb="FFB8C4D4"/>
      </bottom>
      <diagonal/>
    </border>
    <border>
      <left style="thin">
        <color rgb="FFB8C4D4"/>
      </left>
      <right style="thin">
        <color indexed="64"/>
      </right>
      <top style="thin">
        <color indexed="64"/>
      </top>
      <bottom style="thin">
        <color rgb="FFB8C4D4"/>
      </bottom>
      <diagonal/>
    </border>
    <border>
      <left style="thin">
        <color indexed="64"/>
      </left>
      <right style="thin">
        <color rgb="FFB8C4D4"/>
      </right>
      <top style="thin">
        <color rgb="FFB8C4D4"/>
      </top>
      <bottom style="thin">
        <color rgb="FFB8C4D4"/>
      </bottom>
      <diagonal/>
    </border>
    <border>
      <left style="thin">
        <color rgb="FFB8C4D4"/>
      </left>
      <right style="thin">
        <color indexed="64"/>
      </right>
      <top style="thin">
        <color rgb="FFB8C4D4"/>
      </top>
      <bottom style="thin">
        <color rgb="FFB8C4D4"/>
      </bottom>
      <diagonal/>
    </border>
    <border>
      <left style="thin">
        <color indexed="64"/>
      </left>
      <right style="thin">
        <color rgb="FFB8C4D4"/>
      </right>
      <top style="thin">
        <color rgb="FFB8C4D4"/>
      </top>
      <bottom style="thin">
        <color indexed="64"/>
      </bottom>
      <diagonal/>
    </border>
    <border>
      <left style="thin">
        <color rgb="FFB8C4D4"/>
      </left>
      <right style="thin">
        <color rgb="FFB8C4D4"/>
      </right>
      <top style="thin">
        <color rgb="FFB8C4D4"/>
      </top>
      <bottom style="thin">
        <color indexed="64"/>
      </bottom>
      <diagonal/>
    </border>
    <border>
      <left style="thin">
        <color rgb="FFB8C4D4"/>
      </left>
      <right style="thin">
        <color indexed="64"/>
      </right>
      <top style="thin">
        <color rgb="FFB8C4D4"/>
      </top>
      <bottom style="thin">
        <color indexed="64"/>
      </bottom>
      <diagonal/>
    </border>
    <border>
      <left style="thin">
        <color rgb="FFB8C4D4"/>
      </left>
      <right style="thin">
        <color rgb="FFB8C4D4"/>
      </right>
      <top style="thin">
        <color rgb="FFB8C4D4"/>
      </top>
      <bottom style="thin">
        <color rgb="FFB8C4D4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rgb="FFB8C4D4"/>
      </bottom>
      <diagonal/>
    </border>
    <border>
      <left/>
      <right style="thin">
        <color indexed="64"/>
      </right>
      <top style="thin">
        <color rgb="FFB8C4D4"/>
      </top>
      <bottom style="thin">
        <color rgb="FFB8C4D4"/>
      </bottom>
      <diagonal/>
    </border>
    <border>
      <left/>
      <right style="thin">
        <color indexed="64"/>
      </right>
      <top style="thin">
        <color rgb="FFB8C4D4"/>
      </top>
      <bottom style="thin">
        <color indexed="64"/>
      </bottom>
      <diagonal/>
    </border>
  </borders>
  <cellStyleXfs count="6">
    <xf numFmtId="0" fontId="0" fillId="0" borderId="12"/>
    <xf numFmtId="0" fontId="27" fillId="0" borderId="12"/>
    <xf numFmtId="43" fontId="20" fillId="0" borderId="12" applyFont="0" applyFill="0" applyBorder="0" applyAlignment="0" applyProtection="0"/>
    <xf numFmtId="0" fontId="32" fillId="0" borderId="12"/>
    <xf numFmtId="9" fontId="20" fillId="0" borderId="12" applyFont="0" applyFill="0" applyBorder="0" applyAlignment="0" applyProtection="0"/>
    <xf numFmtId="9" fontId="20" fillId="0" borderId="0" applyFont="0" applyFill="0" applyBorder="0" applyAlignment="0" applyProtection="0"/>
  </cellStyleXfs>
  <cellXfs count="340"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/>
    <xf numFmtId="0" fontId="2" fillId="0" borderId="1" xfId="0" applyFont="1" applyBorder="1"/>
    <xf numFmtId="0" fontId="2" fillId="3" borderId="1" xfId="0" applyFont="1" applyFill="1" applyBorder="1"/>
    <xf numFmtId="1" fontId="2" fillId="5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Continuous" vertical="center"/>
    </xf>
    <xf numFmtId="0" fontId="2" fillId="0" borderId="1" xfId="0" applyFont="1" applyBorder="1" applyAlignment="1">
      <alignment horizontal="centerContinuous" vertical="center"/>
    </xf>
    <xf numFmtId="0" fontId="4" fillId="2" borderId="6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Continuous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1" fontId="2" fillId="5" borderId="9" xfId="0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center" vertical="center"/>
    </xf>
    <xf numFmtId="164" fontId="8" fillId="6" borderId="4" xfId="0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3" fillId="0" borderId="13" xfId="0" applyFont="1" applyBorder="1" applyAlignment="1">
      <alignment horizontal="left" vertical="top" wrapText="1"/>
    </xf>
    <xf numFmtId="0" fontId="11" fillId="9" borderId="13" xfId="0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1" fillId="0" borderId="12" xfId="0" applyFont="1"/>
    <xf numFmtId="9" fontId="12" fillId="11" borderId="13" xfId="0" applyNumberFormat="1" applyFont="1" applyFill="1" applyBorder="1" applyAlignment="1">
      <alignment horizontal="center" vertical="center" wrapText="1"/>
    </xf>
    <xf numFmtId="0" fontId="12" fillId="11" borderId="13" xfId="0" applyFont="1" applyFill="1" applyBorder="1" applyAlignment="1">
      <alignment horizontal="center" vertical="center" wrapText="1"/>
    </xf>
    <xf numFmtId="9" fontId="11" fillId="12" borderId="13" xfId="0" applyNumberFormat="1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0" fontId="3" fillId="0" borderId="12" xfId="0" applyFont="1" applyAlignment="1">
      <alignment horizontal="centerContinuous" vertical="center"/>
    </xf>
    <xf numFmtId="0" fontId="11" fillId="12" borderId="13" xfId="0" applyFont="1" applyFill="1" applyBorder="1" applyAlignment="1">
      <alignment horizontal="left" vertical="center" wrapText="1"/>
    </xf>
    <xf numFmtId="9" fontId="11" fillId="0" borderId="13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center" wrapText="1"/>
    </xf>
    <xf numFmtId="0" fontId="17" fillId="11" borderId="13" xfId="0" applyFont="1" applyFill="1" applyBorder="1" applyAlignment="1">
      <alignment horizontal="left" vertical="center" wrapText="1"/>
    </xf>
    <xf numFmtId="0" fontId="18" fillId="7" borderId="13" xfId="0" applyFont="1" applyFill="1" applyBorder="1" applyAlignment="1">
      <alignment horizontal="center" vertical="center" wrapText="1"/>
    </xf>
    <xf numFmtId="0" fontId="19" fillId="0" borderId="12" xfId="0" applyFont="1" applyAlignment="1">
      <alignment vertical="center"/>
    </xf>
    <xf numFmtId="0" fontId="17" fillId="0" borderId="13" xfId="0" applyFont="1" applyBorder="1" applyAlignment="1">
      <alignment horizontal="left" vertical="top" wrapText="1"/>
    </xf>
    <xf numFmtId="0" fontId="12" fillId="11" borderId="13" xfId="0" applyFont="1" applyFill="1" applyBorder="1" applyAlignment="1">
      <alignment horizontal="left" vertical="center" wrapText="1"/>
    </xf>
    <xf numFmtId="0" fontId="23" fillId="13" borderId="12" xfId="0" applyFont="1" applyFill="1"/>
    <xf numFmtId="0" fontId="23" fillId="13" borderId="12" xfId="0" applyFont="1" applyFill="1" applyAlignment="1">
      <alignment horizontal="center"/>
    </xf>
    <xf numFmtId="0" fontId="24" fillId="13" borderId="12" xfId="0" applyFont="1" applyFill="1"/>
    <xf numFmtId="0" fontId="21" fillId="13" borderId="12" xfId="0" applyFont="1" applyFill="1"/>
    <xf numFmtId="0" fontId="23" fillId="0" borderId="12" xfId="0" applyFont="1"/>
    <xf numFmtId="0" fontId="23" fillId="0" borderId="12" xfId="0" applyFont="1" applyAlignment="1">
      <alignment horizontal="center"/>
    </xf>
    <xf numFmtId="0" fontId="25" fillId="0" borderId="15" xfId="0" applyFont="1" applyBorder="1"/>
    <xf numFmtId="0" fontId="25" fillId="0" borderId="17" xfId="0" applyFont="1" applyBorder="1"/>
    <xf numFmtId="0" fontId="0" fillId="0" borderId="12" xfId="0"/>
    <xf numFmtId="0" fontId="25" fillId="0" borderId="19" xfId="0" applyFont="1" applyBorder="1"/>
    <xf numFmtId="0" fontId="22" fillId="0" borderId="12" xfId="0" applyFont="1"/>
    <xf numFmtId="17" fontId="22" fillId="0" borderId="12" xfId="0" applyNumberFormat="1" applyFont="1" applyAlignment="1">
      <alignment horizontal="center"/>
    </xf>
    <xf numFmtId="3" fontId="28" fillId="0" borderId="12" xfId="0" applyNumberFormat="1" applyFont="1" applyAlignment="1">
      <alignment horizontal="right"/>
    </xf>
    <xf numFmtId="0" fontId="28" fillId="0" borderId="12" xfId="0" applyFont="1" applyAlignment="1">
      <alignment horizontal="center"/>
    </xf>
    <xf numFmtId="165" fontId="28" fillId="0" borderId="12" xfId="0" applyNumberFormat="1" applyFont="1" applyAlignment="1">
      <alignment horizontal="center" vertical="center"/>
    </xf>
    <xf numFmtId="0" fontId="31" fillId="0" borderId="12" xfId="0" applyFont="1" applyAlignment="1">
      <alignment vertical="center"/>
    </xf>
    <xf numFmtId="6" fontId="0" fillId="0" borderId="28" xfId="2" applyNumberFormat="1" applyFont="1" applyFill="1" applyBorder="1" applyAlignment="1">
      <alignment horizontal="center"/>
    </xf>
    <xf numFmtId="0" fontId="0" fillId="0" borderId="17" xfId="0" applyBorder="1"/>
    <xf numFmtId="49" fontId="26" fillId="0" borderId="15" xfId="3" applyNumberFormat="1" applyFont="1" applyBorder="1" applyAlignment="1">
      <alignment horizontal="left" vertical="center"/>
    </xf>
    <xf numFmtId="49" fontId="26" fillId="0" borderId="23" xfId="3" applyNumberFormat="1" applyFont="1" applyBorder="1" applyAlignment="1">
      <alignment horizontal="left" vertical="center"/>
    </xf>
    <xf numFmtId="49" fontId="26" fillId="0" borderId="16" xfId="3" applyNumberFormat="1" applyFont="1" applyBorder="1" applyAlignment="1">
      <alignment horizontal="left" vertical="center"/>
    </xf>
    <xf numFmtId="49" fontId="26" fillId="0" borderId="12" xfId="3" applyNumberFormat="1" applyFont="1" applyAlignment="1">
      <alignment horizontal="left" vertical="center"/>
    </xf>
    <xf numFmtId="166" fontId="26" fillId="0" borderId="17" xfId="2" applyNumberFormat="1" applyFont="1" applyBorder="1"/>
    <xf numFmtId="166" fontId="26" fillId="0" borderId="12" xfId="2" applyNumberFormat="1" applyFont="1" applyBorder="1"/>
    <xf numFmtId="166" fontId="26" fillId="0" borderId="18" xfId="2" applyNumberFormat="1" applyFont="1" applyBorder="1"/>
    <xf numFmtId="10" fontId="33" fillId="0" borderId="29" xfId="1" applyNumberFormat="1" applyFont="1" applyBorder="1" applyAlignment="1">
      <alignment vertical="center"/>
    </xf>
    <xf numFmtId="10" fontId="33" fillId="0" borderId="30" xfId="1" applyNumberFormat="1" applyFont="1" applyBorder="1" applyAlignment="1">
      <alignment horizontal="center" vertical="center" wrapText="1"/>
    </xf>
    <xf numFmtId="10" fontId="33" fillId="0" borderId="31" xfId="1" applyNumberFormat="1" applyFont="1" applyBorder="1" applyAlignment="1">
      <alignment horizontal="center" vertical="center" wrapText="1"/>
    </xf>
    <xf numFmtId="0" fontId="34" fillId="0" borderId="29" xfId="0" applyFont="1" applyBorder="1"/>
    <xf numFmtId="37" fontId="26" fillId="0" borderId="17" xfId="2" applyNumberFormat="1" applyFont="1" applyFill="1" applyBorder="1" applyAlignment="1">
      <alignment horizontal="left" vertical="center"/>
    </xf>
    <xf numFmtId="37" fontId="26" fillId="0" borderId="12" xfId="2" applyNumberFormat="1" applyFont="1" applyFill="1" applyBorder="1" applyAlignment="1">
      <alignment horizontal="right" vertical="center"/>
    </xf>
    <xf numFmtId="37" fontId="26" fillId="0" borderId="18" xfId="2" applyNumberFormat="1" applyFont="1" applyFill="1" applyBorder="1" applyAlignment="1">
      <alignment horizontal="right" vertical="center"/>
    </xf>
    <xf numFmtId="0" fontId="28" fillId="0" borderId="12" xfId="0" applyFont="1" applyAlignment="1">
      <alignment horizontal="right" vertical="center"/>
    </xf>
    <xf numFmtId="166" fontId="26" fillId="0" borderId="17" xfId="2" applyNumberFormat="1" applyFont="1" applyFill="1" applyBorder="1"/>
    <xf numFmtId="0" fontId="35" fillId="0" borderId="29" xfId="1" applyFont="1" applyBorder="1" applyAlignment="1">
      <alignment vertical="center"/>
    </xf>
    <xf numFmtId="167" fontId="35" fillId="0" borderId="30" xfId="1" applyNumberFormat="1" applyFont="1" applyBorder="1" applyAlignment="1">
      <alignment horizontal="center" vertical="center"/>
    </xf>
    <xf numFmtId="167" fontId="35" fillId="0" borderId="31" xfId="1" applyNumberFormat="1" applyFont="1" applyBorder="1" applyAlignment="1">
      <alignment horizontal="center" vertical="center"/>
    </xf>
    <xf numFmtId="0" fontId="36" fillId="0" borderId="17" xfId="0" applyFont="1" applyBorder="1"/>
    <xf numFmtId="0" fontId="0" fillId="0" borderId="18" xfId="0" applyBorder="1"/>
    <xf numFmtId="10" fontId="28" fillId="0" borderId="12" xfId="4" applyNumberFormat="1" applyFont="1" applyFill="1" applyBorder="1" applyAlignment="1">
      <alignment horizontal="center" vertical="center"/>
    </xf>
    <xf numFmtId="5" fontId="0" fillId="0" borderId="12" xfId="0" applyNumberFormat="1"/>
    <xf numFmtId="5" fontId="0" fillId="0" borderId="18" xfId="0" applyNumberFormat="1" applyBorder="1"/>
    <xf numFmtId="7" fontId="28" fillId="0" borderId="12" xfId="0" applyNumberFormat="1" applyFont="1" applyAlignment="1">
      <alignment horizontal="right" vertical="center"/>
    </xf>
    <xf numFmtId="8" fontId="0" fillId="0" borderId="12" xfId="0" applyNumberFormat="1"/>
    <xf numFmtId="4" fontId="26" fillId="0" borderId="12" xfId="0" applyNumberFormat="1" applyFont="1" applyAlignment="1">
      <alignment horizontal="right" vertical="center"/>
    </xf>
    <xf numFmtId="0" fontId="37" fillId="0" borderId="12" xfId="1" applyFont="1" applyAlignment="1">
      <alignment vertical="center"/>
    </xf>
    <xf numFmtId="4" fontId="28" fillId="0" borderId="12" xfId="0" applyNumberFormat="1" applyFont="1" applyAlignment="1">
      <alignment horizontal="right" vertical="center"/>
    </xf>
    <xf numFmtId="0" fontId="38" fillId="0" borderId="29" xfId="1" applyFont="1" applyBorder="1" applyAlignment="1">
      <alignment vertical="center"/>
    </xf>
    <xf numFmtId="167" fontId="38" fillId="0" borderId="32" xfId="1" applyNumberFormat="1" applyFont="1" applyBorder="1" applyAlignment="1">
      <alignment horizontal="center" vertical="center"/>
    </xf>
    <xf numFmtId="167" fontId="38" fillId="0" borderId="23" xfId="1" applyNumberFormat="1" applyFont="1" applyBorder="1" applyAlignment="1">
      <alignment horizontal="center" vertical="center"/>
    </xf>
    <xf numFmtId="167" fontId="38" fillId="0" borderId="33" xfId="1" applyNumberFormat="1" applyFont="1" applyBorder="1" applyAlignment="1">
      <alignment horizontal="center" vertical="center"/>
    </xf>
    <xf numFmtId="10" fontId="0" fillId="0" borderId="12" xfId="0" applyNumberFormat="1"/>
    <xf numFmtId="0" fontId="35" fillId="0" borderId="12" xfId="1" applyFont="1" applyAlignment="1">
      <alignment vertical="center"/>
    </xf>
    <xf numFmtId="9" fontId="0" fillId="0" borderId="12" xfId="4" applyFont="1" applyFill="1"/>
    <xf numFmtId="0" fontId="26" fillId="0" borderId="12" xfId="0" applyFont="1" applyAlignment="1">
      <alignment horizontal="center" vertical="center"/>
    </xf>
    <xf numFmtId="9" fontId="0" fillId="0" borderId="12" xfId="0" applyNumberFormat="1"/>
    <xf numFmtId="167" fontId="39" fillId="0" borderId="30" xfId="1" applyNumberFormat="1" applyFont="1" applyBorder="1" applyAlignment="1">
      <alignment horizontal="center" vertical="center"/>
    </xf>
    <xf numFmtId="167" fontId="39" fillId="0" borderId="31" xfId="1" applyNumberFormat="1" applyFont="1" applyBorder="1" applyAlignment="1">
      <alignment horizontal="center" vertical="center"/>
    </xf>
    <xf numFmtId="6" fontId="0" fillId="0" borderId="12" xfId="0" applyNumberFormat="1"/>
    <xf numFmtId="0" fontId="34" fillId="0" borderId="34" xfId="0" applyFont="1" applyBorder="1"/>
    <xf numFmtId="167" fontId="0" fillId="0" borderId="12" xfId="0" applyNumberFormat="1"/>
    <xf numFmtId="0" fontId="0" fillId="0" borderId="29" xfId="0" applyBorder="1"/>
    <xf numFmtId="9" fontId="0" fillId="0" borderId="31" xfId="0" applyNumberFormat="1" applyBorder="1" applyAlignment="1">
      <alignment horizontal="center"/>
    </xf>
    <xf numFmtId="167" fontId="38" fillId="0" borderId="30" xfId="1" applyNumberFormat="1" applyFont="1" applyBorder="1" applyAlignment="1">
      <alignment horizontal="center" vertical="center"/>
    </xf>
    <xf numFmtId="167" fontId="38" fillId="0" borderId="31" xfId="1" applyNumberFormat="1" applyFont="1" applyBorder="1" applyAlignment="1">
      <alignment horizontal="center" vertical="center"/>
    </xf>
    <xf numFmtId="0" fontId="38" fillId="0" borderId="34" xfId="1" applyFont="1" applyBorder="1" applyAlignment="1">
      <alignment vertical="center"/>
    </xf>
    <xf numFmtId="167" fontId="38" fillId="0" borderId="35" xfId="1" applyNumberFormat="1" applyFont="1" applyBorder="1" applyAlignment="1">
      <alignment horizontal="center" vertical="center"/>
    </xf>
    <xf numFmtId="167" fontId="38" fillId="0" borderId="36" xfId="1" applyNumberFormat="1" applyFont="1" applyBorder="1" applyAlignment="1">
      <alignment horizontal="center" vertical="center"/>
    </xf>
    <xf numFmtId="167" fontId="38" fillId="0" borderId="37" xfId="1" applyNumberFormat="1" applyFont="1" applyBorder="1" applyAlignment="1">
      <alignment horizontal="center" vertical="center"/>
    </xf>
    <xf numFmtId="0" fontId="0" fillId="0" borderId="12" xfId="0" applyAlignment="1">
      <alignment horizontal="center"/>
    </xf>
    <xf numFmtId="168" fontId="0" fillId="0" borderId="12" xfId="0" applyNumberFormat="1" applyAlignment="1">
      <alignment horizontal="center"/>
    </xf>
    <xf numFmtId="168" fontId="0" fillId="0" borderId="18" xfId="0" applyNumberFormat="1" applyBorder="1" applyAlignment="1">
      <alignment horizontal="center"/>
    </xf>
    <xf numFmtId="0" fontId="0" fillId="0" borderId="19" xfId="0" applyBorder="1"/>
    <xf numFmtId="0" fontId="0" fillId="0" borderId="38" xfId="0" applyBorder="1" applyAlignment="1">
      <alignment horizontal="center"/>
    </xf>
    <xf numFmtId="0" fontId="0" fillId="0" borderId="20" xfId="0" applyBorder="1" applyAlignment="1">
      <alignment horizontal="center"/>
    </xf>
    <xf numFmtId="3" fontId="26" fillId="0" borderId="12" xfId="0" applyNumberFormat="1" applyFont="1" applyAlignment="1">
      <alignment horizontal="right" vertical="center"/>
    </xf>
    <xf numFmtId="10" fontId="0" fillId="0" borderId="12" xfId="4" applyNumberFormat="1" applyFont="1" applyBorder="1" applyAlignment="1">
      <alignment horizontal="center"/>
    </xf>
    <xf numFmtId="10" fontId="0" fillId="0" borderId="18" xfId="4" applyNumberFormat="1" applyFont="1" applyBorder="1" applyAlignment="1">
      <alignment horizontal="center"/>
    </xf>
    <xf numFmtId="168" fontId="0" fillId="0" borderId="12" xfId="4" applyNumberFormat="1" applyFont="1" applyBorder="1" applyAlignment="1">
      <alignment horizontal="center"/>
    </xf>
    <xf numFmtId="168" fontId="0" fillId="0" borderId="18" xfId="4" applyNumberFormat="1" applyFont="1" applyBorder="1" applyAlignment="1">
      <alignment horizontal="center"/>
    </xf>
    <xf numFmtId="166" fontId="0" fillId="0" borderId="12" xfId="2" applyNumberFormat="1" applyFont="1" applyFill="1" applyAlignment="1">
      <alignment horizontal="center"/>
    </xf>
    <xf numFmtId="6" fontId="0" fillId="0" borderId="12" xfId="4" applyNumberFormat="1" applyFont="1" applyFill="1"/>
    <xf numFmtId="0" fontId="1" fillId="0" borderId="17" xfId="0" applyFont="1" applyBorder="1"/>
    <xf numFmtId="43" fontId="0" fillId="0" borderId="12" xfId="0" applyNumberFormat="1"/>
    <xf numFmtId="2" fontId="0" fillId="0" borderId="12" xfId="0" applyNumberFormat="1"/>
    <xf numFmtId="6" fontId="0" fillId="0" borderId="17" xfId="0" applyNumberFormat="1" applyBorder="1"/>
    <xf numFmtId="6" fontId="0" fillId="0" borderId="18" xfId="0" applyNumberFormat="1" applyBorder="1"/>
    <xf numFmtId="0" fontId="22" fillId="0" borderId="12" xfId="0" applyFont="1" applyAlignment="1">
      <alignment horizontal="center"/>
    </xf>
    <xf numFmtId="8" fontId="22" fillId="0" borderId="12" xfId="0" applyNumberFormat="1" applyFont="1"/>
    <xf numFmtId="6" fontId="22" fillId="0" borderId="12" xfId="0" applyNumberFormat="1" applyFont="1"/>
    <xf numFmtId="6" fontId="1" fillId="0" borderId="17" xfId="0" applyNumberFormat="1" applyFont="1" applyBorder="1"/>
    <xf numFmtId="9" fontId="28" fillId="0" borderId="12" xfId="0" applyNumberFormat="1" applyFont="1" applyAlignment="1">
      <alignment horizontal="right" vertical="center"/>
    </xf>
    <xf numFmtId="166" fontId="26" fillId="0" borderId="19" xfId="2" applyNumberFormat="1" applyFont="1" applyFill="1" applyBorder="1"/>
    <xf numFmtId="166" fontId="26" fillId="0" borderId="38" xfId="2" applyNumberFormat="1" applyFont="1" applyBorder="1"/>
    <xf numFmtId="166" fontId="26" fillId="0" borderId="20" xfId="2" applyNumberFormat="1" applyFont="1" applyBorder="1"/>
    <xf numFmtId="37" fontId="0" fillId="0" borderId="12" xfId="2" applyNumberFormat="1" applyFont="1" applyFill="1" applyBorder="1" applyAlignment="1">
      <alignment horizontal="left"/>
    </xf>
    <xf numFmtId="37" fontId="0" fillId="0" borderId="12" xfId="2" applyNumberFormat="1" applyFont="1" applyFill="1" applyBorder="1" applyAlignment="1">
      <alignment horizontal="right"/>
    </xf>
    <xf numFmtId="6" fontId="29" fillId="14" borderId="13" xfId="0" applyNumberFormat="1" applyFont="1" applyFill="1" applyBorder="1" applyAlignment="1">
      <alignment horizontal="center" vertical="center"/>
    </xf>
    <xf numFmtId="0" fontId="29" fillId="14" borderId="14" xfId="0" applyFont="1" applyFill="1" applyBorder="1" applyAlignment="1">
      <alignment horizontal="center" vertical="center"/>
    </xf>
    <xf numFmtId="0" fontId="29" fillId="14" borderId="14" xfId="0" applyFont="1" applyFill="1" applyBorder="1" applyAlignment="1">
      <alignment horizontal="left" vertical="center"/>
    </xf>
    <xf numFmtId="165" fontId="29" fillId="14" borderId="21" xfId="0" applyNumberFormat="1" applyFont="1" applyFill="1" applyBorder="1" applyAlignment="1">
      <alignment horizontal="center" vertical="center"/>
    </xf>
    <xf numFmtId="165" fontId="29" fillId="14" borderId="22" xfId="0" applyNumberFormat="1" applyFont="1" applyFill="1" applyBorder="1" applyAlignment="1">
      <alignment horizontal="center" vertical="center"/>
    </xf>
    <xf numFmtId="0" fontId="14" fillId="15" borderId="13" xfId="0" applyFont="1" applyFill="1" applyBorder="1" applyAlignment="1">
      <alignment horizontal="left" vertical="center"/>
    </xf>
    <xf numFmtId="0" fontId="14" fillId="15" borderId="13" xfId="0" applyFont="1" applyFill="1" applyBorder="1" applyAlignment="1">
      <alignment horizontal="left" vertical="center" wrapText="1"/>
    </xf>
    <xf numFmtId="0" fontId="14" fillId="15" borderId="14" xfId="0" applyFont="1" applyFill="1" applyBorder="1" applyAlignment="1">
      <alignment horizontal="left" vertical="center" wrapText="1"/>
    </xf>
    <xf numFmtId="0" fontId="3" fillId="14" borderId="3" xfId="0" applyFont="1" applyFill="1" applyBorder="1" applyAlignment="1">
      <alignment horizontal="centerContinuous" vertical="center"/>
    </xf>
    <xf numFmtId="165" fontId="29" fillId="14" borderId="15" xfId="0" applyNumberFormat="1" applyFont="1" applyFill="1" applyBorder="1" applyAlignment="1">
      <alignment horizontal="center" vertical="center"/>
    </xf>
    <xf numFmtId="165" fontId="29" fillId="14" borderId="23" xfId="0" applyNumberFormat="1" applyFont="1" applyFill="1" applyBorder="1" applyAlignment="1">
      <alignment horizontal="center" vertical="center"/>
    </xf>
    <xf numFmtId="165" fontId="29" fillId="14" borderId="16" xfId="0" applyNumberFormat="1" applyFont="1" applyFill="1" applyBorder="1" applyAlignment="1">
      <alignment horizontal="center" vertical="center"/>
    </xf>
    <xf numFmtId="0" fontId="30" fillId="14" borderId="24" xfId="0" applyFont="1" applyFill="1" applyBorder="1" applyAlignment="1">
      <alignment horizontal="center" vertical="center"/>
    </xf>
    <xf numFmtId="165" fontId="29" fillId="14" borderId="25" xfId="0" applyNumberFormat="1" applyFont="1" applyFill="1" applyBorder="1" applyAlignment="1">
      <alignment horizontal="center" vertical="center"/>
    </xf>
    <xf numFmtId="0" fontId="29" fillId="14" borderId="26" xfId="0" applyFont="1" applyFill="1" applyBorder="1" applyAlignment="1">
      <alignment horizontal="center" vertical="center"/>
    </xf>
    <xf numFmtId="0" fontId="29" fillId="14" borderId="27" xfId="0" applyFont="1" applyFill="1" applyBorder="1" applyAlignment="1">
      <alignment horizontal="center" vertical="center"/>
    </xf>
    <xf numFmtId="10" fontId="29" fillId="14" borderId="24" xfId="0" applyNumberFormat="1" applyFont="1" applyFill="1" applyBorder="1" applyAlignment="1">
      <alignment vertical="center"/>
    </xf>
    <xf numFmtId="0" fontId="21" fillId="14" borderId="15" xfId="0" applyFont="1" applyFill="1" applyBorder="1"/>
    <xf numFmtId="166" fontId="21" fillId="14" borderId="23" xfId="0" applyNumberFormat="1" applyFont="1" applyFill="1" applyBorder="1" applyAlignment="1">
      <alignment horizontal="center"/>
    </xf>
    <xf numFmtId="0" fontId="21" fillId="14" borderId="23" xfId="0" applyFont="1" applyFill="1" applyBorder="1" applyAlignment="1">
      <alignment horizontal="center"/>
    </xf>
    <xf numFmtId="0" fontId="21" fillId="14" borderId="16" xfId="0" applyFont="1" applyFill="1" applyBorder="1" applyAlignment="1">
      <alignment horizontal="center"/>
    </xf>
    <xf numFmtId="165" fontId="21" fillId="14" borderId="23" xfId="0" applyNumberFormat="1" applyFont="1" applyFill="1" applyBorder="1" applyAlignment="1">
      <alignment horizontal="center"/>
    </xf>
    <xf numFmtId="14" fontId="23" fillId="13" borderId="12" xfId="0" applyNumberFormat="1" applyFont="1" applyFill="1"/>
    <xf numFmtId="3" fontId="23" fillId="13" borderId="12" xfId="0" applyNumberFormat="1" applyFont="1" applyFill="1"/>
    <xf numFmtId="0" fontId="0" fillId="0" borderId="12" xfId="0" applyAlignment="1">
      <alignment horizontal="center" vertical="center"/>
    </xf>
    <xf numFmtId="0" fontId="0" fillId="0" borderId="12" xfId="0" applyAlignment="1">
      <alignment vertical="center"/>
    </xf>
    <xf numFmtId="14" fontId="0" fillId="0" borderId="12" xfId="0" applyNumberFormat="1" applyAlignment="1">
      <alignment horizontal="center" vertical="center"/>
    </xf>
    <xf numFmtId="14" fontId="0" fillId="0" borderId="12" xfId="2" applyNumberFormat="1" applyFont="1" applyAlignment="1">
      <alignment horizontal="center" vertical="center"/>
    </xf>
    <xf numFmtId="169" fontId="0" fillId="0" borderId="12" xfId="0" applyNumberFormat="1" applyAlignment="1">
      <alignment horizontal="center" vertical="center"/>
    </xf>
    <xf numFmtId="0" fontId="40" fillId="0" borderId="12" xfId="0" applyFont="1" applyAlignment="1">
      <alignment horizontal="center" vertical="center"/>
    </xf>
    <xf numFmtId="3" fontId="0" fillId="0" borderId="12" xfId="0" applyNumberFormat="1" applyAlignment="1">
      <alignment vertical="center"/>
    </xf>
    <xf numFmtId="0" fontId="22" fillId="0" borderId="15" xfId="0" applyFont="1" applyBorder="1" applyAlignment="1">
      <alignment horizontal="left" vertical="center"/>
    </xf>
    <xf numFmtId="0" fontId="0" fillId="0" borderId="12" xfId="2" applyNumberFormat="1" applyFont="1" applyAlignment="1">
      <alignment horizontal="center" vertical="center"/>
    </xf>
    <xf numFmtId="0" fontId="34" fillId="0" borderId="12" xfId="0" applyFont="1" applyAlignment="1">
      <alignment horizontal="center" vertical="center"/>
    </xf>
    <xf numFmtId="0" fontId="22" fillId="0" borderId="19" xfId="0" applyFont="1" applyBorder="1" applyAlignment="1">
      <alignment horizontal="left" vertical="center"/>
    </xf>
    <xf numFmtId="14" fontId="41" fillId="0" borderId="12" xfId="2" applyNumberFormat="1" applyFont="1" applyAlignment="1">
      <alignment horizontal="left" vertical="center"/>
    </xf>
    <xf numFmtId="0" fontId="22" fillId="0" borderId="12" xfId="0" applyFont="1" applyAlignment="1">
      <alignment vertical="center" wrapText="1"/>
    </xf>
    <xf numFmtId="0" fontId="0" fillId="0" borderId="12" xfId="0" applyAlignment="1">
      <alignment vertical="center" wrapText="1"/>
    </xf>
    <xf numFmtId="0" fontId="34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1" fontId="34" fillId="0" borderId="13" xfId="0" applyNumberFormat="1" applyFont="1" applyBorder="1" applyAlignment="1">
      <alignment horizontal="center" vertical="center"/>
    </xf>
    <xf numFmtId="14" fontId="34" fillId="0" borderId="13" xfId="0" applyNumberFormat="1" applyFont="1" applyBorder="1" applyAlignment="1">
      <alignment horizontal="center" vertical="center"/>
    </xf>
    <xf numFmtId="14" fontId="34" fillId="0" borderId="14" xfId="2" applyNumberFormat="1" applyFont="1" applyFill="1" applyBorder="1" applyAlignment="1">
      <alignment horizontal="center" vertical="center"/>
    </xf>
    <xf numFmtId="169" fontId="26" fillId="0" borderId="14" xfId="2" applyNumberFormat="1" applyFont="1" applyFill="1" applyBorder="1" applyAlignment="1">
      <alignment horizontal="center" vertical="center"/>
    </xf>
    <xf numFmtId="3" fontId="34" fillId="0" borderId="22" xfId="0" applyNumberFormat="1" applyFont="1" applyBorder="1" applyAlignment="1">
      <alignment horizontal="center" vertical="center"/>
    </xf>
    <xf numFmtId="3" fontId="34" fillId="0" borderId="13" xfId="0" applyNumberFormat="1" applyFont="1" applyBorder="1" applyAlignment="1">
      <alignment horizontal="center" vertical="center"/>
    </xf>
    <xf numFmtId="6" fontId="26" fillId="0" borderId="13" xfId="0" applyNumberFormat="1" applyFont="1" applyBorder="1" applyAlignment="1">
      <alignment horizontal="center" vertical="center"/>
    </xf>
    <xf numFmtId="6" fontId="0" fillId="0" borderId="12" xfId="0" applyNumberFormat="1" applyAlignment="1">
      <alignment vertical="center"/>
    </xf>
    <xf numFmtId="0" fontId="22" fillId="0" borderId="32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171" fontId="26" fillId="0" borderId="24" xfId="0" applyNumberFormat="1" applyFont="1" applyBorder="1" applyAlignment="1">
      <alignment horizontal="center" vertical="center"/>
    </xf>
    <xf numFmtId="37" fontId="0" fillId="0" borderId="47" xfId="2" applyNumberFormat="1" applyFont="1" applyFill="1" applyBorder="1" applyAlignment="1">
      <alignment horizontal="center" vertical="center"/>
    </xf>
    <xf numFmtId="37" fontId="0" fillId="0" borderId="48" xfId="2" applyNumberFormat="1" applyFont="1" applyFill="1" applyBorder="1" applyAlignment="1">
      <alignment horizontal="center" vertical="center"/>
    </xf>
    <xf numFmtId="37" fontId="0" fillId="0" borderId="49" xfId="2" applyNumberFormat="1" applyFont="1" applyFill="1" applyBorder="1" applyAlignment="1">
      <alignment horizontal="center" vertical="center"/>
    </xf>
    <xf numFmtId="6" fontId="0" fillId="0" borderId="49" xfId="2" applyNumberFormat="1" applyFont="1" applyFill="1" applyBorder="1" applyAlignment="1">
      <alignment horizontal="center" vertical="center"/>
    </xf>
    <xf numFmtId="6" fontId="0" fillId="0" borderId="50" xfId="2" applyNumberFormat="1" applyFont="1" applyFill="1" applyBorder="1" applyAlignment="1">
      <alignment horizontal="center" vertical="center"/>
    </xf>
    <xf numFmtId="9" fontId="0" fillId="0" borderId="30" xfId="4" applyFont="1" applyBorder="1" applyAlignment="1">
      <alignment horizontal="center" vertical="center"/>
    </xf>
    <xf numFmtId="0" fontId="42" fillId="3" borderId="51" xfId="0" applyFont="1" applyFill="1" applyBorder="1" applyAlignment="1">
      <alignment horizontal="left" vertical="center"/>
    </xf>
    <xf numFmtId="0" fontId="0" fillId="0" borderId="30" xfId="0" applyBorder="1" applyAlignment="1">
      <alignment vertical="center"/>
    </xf>
    <xf numFmtId="37" fontId="0" fillId="0" borderId="12" xfId="0" applyNumberFormat="1" applyAlignment="1">
      <alignment horizontal="center" vertical="center"/>
    </xf>
    <xf numFmtId="37" fontId="0" fillId="0" borderId="31" xfId="0" applyNumberFormat="1" applyBorder="1" applyAlignment="1">
      <alignment horizontal="center" vertical="center"/>
    </xf>
    <xf numFmtId="6" fontId="0" fillId="0" borderId="31" xfId="2" applyNumberFormat="1" applyFont="1" applyFill="1" applyBorder="1" applyAlignment="1">
      <alignment horizontal="center" vertical="center"/>
    </xf>
    <xf numFmtId="6" fontId="0" fillId="0" borderId="12" xfId="2" applyNumberFormat="1" applyFont="1" applyFill="1" applyBorder="1" applyAlignment="1">
      <alignment horizontal="center" vertical="center"/>
    </xf>
    <xf numFmtId="171" fontId="26" fillId="0" borderId="29" xfId="0" applyNumberFormat="1" applyFont="1" applyBorder="1" applyAlignment="1">
      <alignment horizontal="center" vertical="center"/>
    </xf>
    <xf numFmtId="37" fontId="0" fillId="0" borderId="52" xfId="2" applyNumberFormat="1" applyFont="1" applyFill="1" applyBorder="1" applyAlignment="1">
      <alignment horizontal="center" vertical="center"/>
    </xf>
    <xf numFmtId="37" fontId="0" fillId="0" borderId="18" xfId="2" applyNumberFormat="1" applyFont="1" applyFill="1" applyBorder="1" applyAlignment="1">
      <alignment horizontal="center" vertical="center"/>
    </xf>
    <xf numFmtId="37" fontId="0" fillId="0" borderId="28" xfId="2" applyNumberFormat="1" applyFont="1" applyFill="1" applyBorder="1" applyAlignment="1">
      <alignment horizontal="center" vertical="center"/>
    </xf>
    <xf numFmtId="6" fontId="0" fillId="0" borderId="28" xfId="2" applyNumberFormat="1" applyFont="1" applyFill="1" applyBorder="1" applyAlignment="1">
      <alignment horizontal="center" vertical="center"/>
    </xf>
    <xf numFmtId="6" fontId="0" fillId="0" borderId="51" xfId="2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0" fillId="16" borderId="12" xfId="0" applyFill="1" applyAlignment="1">
      <alignment vertical="center"/>
    </xf>
    <xf numFmtId="0" fontId="22" fillId="16" borderId="30" xfId="0" applyFont="1" applyFill="1" applyBorder="1" applyAlignment="1">
      <alignment vertical="center"/>
    </xf>
    <xf numFmtId="37" fontId="0" fillId="16" borderId="52" xfId="2" applyNumberFormat="1" applyFont="1" applyFill="1" applyBorder="1" applyAlignment="1">
      <alignment horizontal="center" vertical="center"/>
    </xf>
    <xf numFmtId="37" fontId="0" fillId="16" borderId="18" xfId="2" applyNumberFormat="1" applyFont="1" applyFill="1" applyBorder="1" applyAlignment="1">
      <alignment horizontal="center" vertical="center"/>
    </xf>
    <xf numFmtId="37" fontId="0" fillId="16" borderId="28" xfId="2" applyNumberFormat="1" applyFont="1" applyFill="1" applyBorder="1" applyAlignment="1">
      <alignment horizontal="center" vertical="center"/>
    </xf>
    <xf numFmtId="6" fontId="0" fillId="16" borderId="28" xfId="2" applyNumberFormat="1" applyFont="1" applyFill="1" applyBorder="1" applyAlignment="1">
      <alignment horizontal="center" vertical="center"/>
    </xf>
    <xf numFmtId="6" fontId="0" fillId="16" borderId="51" xfId="2" applyNumberFormat="1" applyFont="1" applyFill="1" applyBorder="1" applyAlignment="1">
      <alignment horizontal="center" vertical="center"/>
    </xf>
    <xf numFmtId="6" fontId="22" fillId="0" borderId="12" xfId="0" applyNumberFormat="1" applyFont="1" applyAlignment="1">
      <alignment vertical="center"/>
    </xf>
    <xf numFmtId="171" fontId="26" fillId="0" borderId="34" xfId="0" applyNumberFormat="1" applyFont="1" applyBorder="1" applyAlignment="1">
      <alignment horizontal="center" vertical="center"/>
    </xf>
    <xf numFmtId="37" fontId="0" fillId="0" borderId="53" xfId="2" applyNumberFormat="1" applyFont="1" applyFill="1" applyBorder="1" applyAlignment="1">
      <alignment horizontal="center" vertical="center"/>
    </xf>
    <xf numFmtId="37" fontId="0" fillId="0" borderId="54" xfId="2" applyNumberFormat="1" applyFont="1" applyFill="1" applyBorder="1" applyAlignment="1">
      <alignment horizontal="center" vertical="center"/>
    </xf>
    <xf numFmtId="37" fontId="0" fillId="0" borderId="55" xfId="2" applyNumberFormat="1" applyFont="1" applyFill="1" applyBorder="1" applyAlignment="1">
      <alignment horizontal="center" vertical="center"/>
    </xf>
    <xf numFmtId="6" fontId="0" fillId="0" borderId="55" xfId="2" applyNumberFormat="1" applyFont="1" applyFill="1" applyBorder="1" applyAlignment="1">
      <alignment horizontal="center" vertical="center"/>
    </xf>
    <xf numFmtId="6" fontId="0" fillId="0" borderId="56" xfId="2" applyNumberFormat="1" applyFont="1" applyFill="1" applyBorder="1" applyAlignment="1">
      <alignment horizontal="center" vertical="center"/>
    </xf>
    <xf numFmtId="9" fontId="0" fillId="0" borderId="35" xfId="4" applyFont="1" applyBorder="1" applyAlignment="1">
      <alignment horizontal="center" vertical="center"/>
    </xf>
    <xf numFmtId="0" fontId="42" fillId="3" borderId="56" xfId="0" applyFont="1" applyFill="1" applyBorder="1" applyAlignment="1">
      <alignment horizontal="left" vertical="center"/>
    </xf>
    <xf numFmtId="0" fontId="21" fillId="13" borderId="44" xfId="0" applyFont="1" applyFill="1" applyBorder="1" applyAlignment="1">
      <alignment vertical="center"/>
    </xf>
    <xf numFmtId="0" fontId="21" fillId="13" borderId="45" xfId="0" applyFont="1" applyFill="1" applyBorder="1" applyAlignment="1">
      <alignment vertical="center"/>
    </xf>
    <xf numFmtId="1" fontId="21" fillId="13" borderId="53" xfId="2" applyNumberFormat="1" applyFont="1" applyFill="1" applyBorder="1" applyAlignment="1">
      <alignment horizontal="center" vertical="center"/>
    </xf>
    <xf numFmtId="1" fontId="21" fillId="13" borderId="55" xfId="2" applyNumberFormat="1" applyFont="1" applyFill="1" applyBorder="1" applyAlignment="1">
      <alignment horizontal="center" vertical="center"/>
    </xf>
    <xf numFmtId="6" fontId="21" fillId="13" borderId="55" xfId="2" applyNumberFormat="1" applyFont="1" applyFill="1" applyBorder="1" applyAlignment="1">
      <alignment horizontal="center" vertical="center"/>
    </xf>
    <xf numFmtId="6" fontId="21" fillId="13" borderId="56" xfId="2" applyNumberFormat="1" applyFont="1" applyFill="1" applyBorder="1" applyAlignment="1">
      <alignment horizontal="center" vertical="center"/>
    </xf>
    <xf numFmtId="10" fontId="43" fillId="13" borderId="57" xfId="0" applyNumberFormat="1" applyFont="1" applyFill="1" applyBorder="1" applyAlignment="1">
      <alignment horizontal="center" vertical="center"/>
    </xf>
    <xf numFmtId="0" fontId="43" fillId="13" borderId="57" xfId="0" applyFont="1" applyFill="1" applyBorder="1" applyAlignment="1">
      <alignment horizontal="center" vertical="center"/>
    </xf>
    <xf numFmtId="0" fontId="44" fillId="13" borderId="44" xfId="0" applyFont="1" applyFill="1" applyBorder="1" applyAlignment="1">
      <alignment horizontal="left" vertical="center"/>
    </xf>
    <xf numFmtId="3" fontId="44" fillId="13" borderId="58" xfId="0" applyNumberFormat="1" applyFont="1" applyFill="1" applyBorder="1" applyAlignment="1">
      <alignment horizontal="center" vertical="center"/>
    </xf>
    <xf numFmtId="3" fontId="44" fillId="13" borderId="46" xfId="0" applyNumberFormat="1" applyFont="1" applyFill="1" applyBorder="1" applyAlignment="1">
      <alignment horizontal="center" vertical="center"/>
    </xf>
    <xf numFmtId="3" fontId="44" fillId="13" borderId="44" xfId="0" applyNumberFormat="1" applyFont="1" applyFill="1" applyBorder="1" applyAlignment="1">
      <alignment horizontal="center" vertical="center"/>
    </xf>
    <xf numFmtId="172" fontId="44" fillId="13" borderId="46" xfId="0" applyNumberFormat="1" applyFont="1" applyFill="1" applyBorder="1" applyAlignment="1">
      <alignment horizontal="center" vertical="center"/>
    </xf>
    <xf numFmtId="172" fontId="44" fillId="13" borderId="58" xfId="0" applyNumberFormat="1" applyFont="1" applyFill="1" applyBorder="1" applyAlignment="1">
      <alignment horizontal="center" vertical="center"/>
    </xf>
    <xf numFmtId="8" fontId="0" fillId="0" borderId="12" xfId="0" applyNumberFormat="1" applyAlignment="1">
      <alignment horizontal="center" vertical="center"/>
    </xf>
    <xf numFmtId="6" fontId="0" fillId="0" borderId="12" xfId="0" applyNumberFormat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6" fontId="0" fillId="0" borderId="26" xfId="0" applyNumberFormat="1" applyBorder="1" applyAlignment="1">
      <alignment horizontal="center" vertical="center"/>
    </xf>
    <xf numFmtId="0" fontId="0" fillId="0" borderId="23" xfId="0" applyBorder="1" applyAlignment="1">
      <alignment vertical="center"/>
    </xf>
    <xf numFmtId="10" fontId="0" fillId="0" borderId="16" xfId="0" applyNumberFormat="1" applyBorder="1" applyAlignment="1">
      <alignment horizontal="center" vertical="center"/>
    </xf>
    <xf numFmtId="0" fontId="22" fillId="0" borderId="38" xfId="0" applyFont="1" applyBorder="1" applyAlignment="1">
      <alignment vertical="center"/>
    </xf>
    <xf numFmtId="10" fontId="0" fillId="0" borderId="20" xfId="0" applyNumberFormat="1" applyBorder="1" applyAlignment="1">
      <alignment horizontal="center" vertical="center"/>
    </xf>
    <xf numFmtId="173" fontId="26" fillId="17" borderId="60" xfId="0" applyNumberFormat="1" applyFont="1" applyFill="1" applyBorder="1" applyAlignment="1">
      <alignment horizontal="centerContinuous" vertical="center"/>
    </xf>
    <xf numFmtId="10" fontId="0" fillId="0" borderId="12" xfId="0" applyNumberFormat="1" applyAlignment="1">
      <alignment vertical="center"/>
    </xf>
    <xf numFmtId="0" fontId="22" fillId="0" borderId="12" xfId="0" applyFont="1" applyAlignment="1">
      <alignment horizontal="center" vertical="center" wrapText="1"/>
    </xf>
    <xf numFmtId="49" fontId="45" fillId="18" borderId="17" xfId="0" applyNumberFormat="1" applyFont="1" applyFill="1" applyBorder="1" applyAlignment="1">
      <alignment horizontal="left" vertical="center"/>
    </xf>
    <xf numFmtId="49" fontId="45" fillId="18" borderId="12" xfId="0" applyNumberFormat="1" applyFont="1" applyFill="1" applyAlignment="1">
      <alignment horizontal="right" vertical="center"/>
    </xf>
    <xf numFmtId="3" fontId="45" fillId="18" borderId="12" xfId="0" applyNumberFormat="1" applyFont="1" applyFill="1" applyAlignment="1">
      <alignment horizontal="right" vertical="center"/>
    </xf>
    <xf numFmtId="172" fontId="45" fillId="18" borderId="12" xfId="0" applyNumberFormat="1" applyFont="1" applyFill="1" applyAlignment="1">
      <alignment horizontal="right" vertical="center"/>
    </xf>
    <xf numFmtId="49" fontId="45" fillId="18" borderId="19" xfId="0" applyNumberFormat="1" applyFont="1" applyFill="1" applyBorder="1" applyAlignment="1">
      <alignment horizontal="left" vertical="center"/>
    </xf>
    <xf numFmtId="174" fontId="45" fillId="18" borderId="38" xfId="0" applyNumberFormat="1" applyFont="1" applyFill="1" applyBorder="1" applyAlignment="1">
      <alignment horizontal="right" vertical="center"/>
    </xf>
    <xf numFmtId="0" fontId="21" fillId="13" borderId="12" xfId="0" applyFont="1" applyFill="1" applyAlignment="1">
      <alignment horizontal="centerContinuous" vertical="center"/>
    </xf>
    <xf numFmtId="0" fontId="23" fillId="13" borderId="12" xfId="0" applyFont="1" applyFill="1" applyAlignment="1">
      <alignment horizontal="centerContinuous" vertical="center"/>
    </xf>
    <xf numFmtId="173" fontId="46" fillId="17" borderId="69" xfId="0" applyNumberFormat="1" applyFont="1" applyFill="1" applyBorder="1" applyAlignment="1">
      <alignment horizontal="centerContinuous" vertical="center"/>
    </xf>
    <xf numFmtId="0" fontId="47" fillId="17" borderId="69" xfId="0" applyFont="1" applyFill="1" applyBorder="1" applyAlignment="1">
      <alignment horizontal="centerContinuous" vertical="center"/>
    </xf>
    <xf numFmtId="0" fontId="0" fillId="17" borderId="69" xfId="0" applyFill="1" applyBorder="1"/>
    <xf numFmtId="0" fontId="0" fillId="0" borderId="13" xfId="0" applyBorder="1" applyAlignment="1">
      <alignment vertical="center"/>
    </xf>
    <xf numFmtId="14" fontId="34" fillId="0" borderId="13" xfId="2" applyNumberFormat="1" applyFont="1" applyFill="1" applyBorder="1" applyAlignment="1">
      <alignment horizontal="center" vertical="center"/>
    </xf>
    <xf numFmtId="0" fontId="10" fillId="14" borderId="13" xfId="0" applyFont="1" applyFill="1" applyBorder="1" applyAlignment="1">
      <alignment horizontal="center" vertical="center" wrapText="1"/>
    </xf>
    <xf numFmtId="0" fontId="21" fillId="14" borderId="25" xfId="0" applyFont="1" applyFill="1" applyBorder="1" applyAlignment="1">
      <alignment horizontal="center" vertical="center"/>
    </xf>
    <xf numFmtId="0" fontId="21" fillId="14" borderId="26" xfId="0" applyFont="1" applyFill="1" applyBorder="1" applyAlignment="1">
      <alignment horizontal="center" vertical="center"/>
    </xf>
    <xf numFmtId="0" fontId="21" fillId="14" borderId="25" xfId="0" applyFont="1" applyFill="1" applyBorder="1" applyAlignment="1">
      <alignment horizontal="centerContinuous"/>
    </xf>
    <xf numFmtId="0" fontId="21" fillId="14" borderId="26" xfId="0" applyFont="1" applyFill="1" applyBorder="1" applyAlignment="1">
      <alignment horizontal="centerContinuous"/>
    </xf>
    <xf numFmtId="0" fontId="21" fillId="14" borderId="27" xfId="0" applyFont="1" applyFill="1" applyBorder="1" applyAlignment="1">
      <alignment horizontal="centerContinuous"/>
    </xf>
    <xf numFmtId="0" fontId="21" fillId="14" borderId="25" xfId="0" applyFont="1" applyFill="1" applyBorder="1" applyAlignment="1">
      <alignment horizontal="centerContinuous" vertical="center"/>
    </xf>
    <xf numFmtId="0" fontId="0" fillId="14" borderId="27" xfId="0" applyFill="1" applyBorder="1" applyAlignment="1">
      <alignment horizontal="centerContinuous" vertical="center"/>
    </xf>
    <xf numFmtId="0" fontId="21" fillId="14" borderId="30" xfId="0" applyFont="1" applyFill="1" applyBorder="1" applyAlignment="1">
      <alignment horizontal="center" vertical="center"/>
    </xf>
    <xf numFmtId="14" fontId="21" fillId="14" borderId="35" xfId="0" applyNumberFormat="1" applyFont="1" applyFill="1" applyBorder="1" applyAlignment="1">
      <alignment horizontal="center" vertical="center"/>
    </xf>
    <xf numFmtId="14" fontId="21" fillId="14" borderId="36" xfId="0" applyNumberFormat="1" applyFont="1" applyFill="1" applyBorder="1" applyAlignment="1">
      <alignment horizontal="center" vertical="center"/>
    </xf>
    <xf numFmtId="0" fontId="21" fillId="14" borderId="36" xfId="0" applyFont="1" applyFill="1" applyBorder="1" applyAlignment="1">
      <alignment horizontal="center" vertical="center"/>
    </xf>
    <xf numFmtId="14" fontId="21" fillId="14" borderId="35" xfId="0" applyNumberFormat="1" applyFont="1" applyFill="1" applyBorder="1" applyAlignment="1">
      <alignment horizontal="centerContinuous"/>
    </xf>
    <xf numFmtId="0" fontId="21" fillId="14" borderId="36" xfId="0" applyFont="1" applyFill="1" applyBorder="1" applyAlignment="1">
      <alignment horizontal="centerContinuous"/>
    </xf>
    <xf numFmtId="0" fontId="21" fillId="14" borderId="37" xfId="0" applyFont="1" applyFill="1" applyBorder="1" applyAlignment="1">
      <alignment horizontal="centerContinuous"/>
    </xf>
    <xf numFmtId="0" fontId="0" fillId="14" borderId="35" xfId="0" applyFill="1" applyBorder="1" applyAlignment="1">
      <alignment horizontal="centerContinuous" vertical="center"/>
    </xf>
    <xf numFmtId="0" fontId="0" fillId="14" borderId="31" xfId="0" applyFill="1" applyBorder="1" applyAlignment="1">
      <alignment horizontal="centerContinuous" vertical="center"/>
    </xf>
    <xf numFmtId="0" fontId="21" fillId="14" borderId="39" xfId="0" applyFont="1" applyFill="1" applyBorder="1" applyAlignment="1">
      <alignment horizontal="center" vertical="center" wrapText="1"/>
    </xf>
    <xf numFmtId="0" fontId="21" fillId="14" borderId="30" xfId="0" applyFont="1" applyFill="1" applyBorder="1" applyAlignment="1">
      <alignment horizontal="center" vertical="center" wrapText="1"/>
    </xf>
    <xf numFmtId="0" fontId="21" fillId="14" borderId="40" xfId="0" applyFont="1" applyFill="1" applyBorder="1" applyAlignment="1">
      <alignment horizontal="center" vertical="center" wrapText="1"/>
    </xf>
    <xf numFmtId="0" fontId="21" fillId="14" borderId="41" xfId="0" applyFont="1" applyFill="1" applyBorder="1" applyAlignment="1">
      <alignment horizontal="center" vertical="center" wrapText="1"/>
    </xf>
    <xf numFmtId="0" fontId="21" fillId="14" borderId="42" xfId="0" applyFont="1" applyFill="1" applyBorder="1" applyAlignment="1">
      <alignment horizontal="center" vertical="center" wrapText="1"/>
    </xf>
    <xf numFmtId="0" fontId="21" fillId="14" borderId="43" xfId="0" applyFont="1" applyFill="1" applyBorder="1" applyAlignment="1">
      <alignment horizontal="center" vertical="center" wrapText="1"/>
    </xf>
    <xf numFmtId="0" fontId="21" fillId="14" borderId="44" xfId="0" applyFont="1" applyFill="1" applyBorder="1" applyAlignment="1">
      <alignment horizontal="center" vertical="center" wrapText="1"/>
    </xf>
    <xf numFmtId="0" fontId="21" fillId="14" borderId="45" xfId="0" applyFont="1" applyFill="1" applyBorder="1" applyAlignment="1">
      <alignment horizontal="center" vertical="center" wrapText="1"/>
    </xf>
    <xf numFmtId="0" fontId="0" fillId="14" borderId="26" xfId="0" applyFill="1" applyBorder="1" applyAlignment="1">
      <alignment horizontal="centerContinuous" vertical="center"/>
    </xf>
    <xf numFmtId="0" fontId="0" fillId="14" borderId="36" xfId="0" applyFill="1" applyBorder="1" applyAlignment="1">
      <alignment horizontal="centerContinuous" vertical="center"/>
    </xf>
    <xf numFmtId="0" fontId="0" fillId="14" borderId="37" xfId="0" applyFill="1" applyBorder="1" applyAlignment="1">
      <alignment horizontal="centerContinuous" vertical="center"/>
    </xf>
    <xf numFmtId="0" fontId="21" fillId="14" borderId="45" xfId="0" applyFont="1" applyFill="1" applyBorder="1" applyAlignment="1">
      <alignment horizontal="center" vertical="center"/>
    </xf>
    <xf numFmtId="0" fontId="21" fillId="14" borderId="46" xfId="0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vertical="center"/>
    </xf>
    <xf numFmtId="0" fontId="23" fillId="14" borderId="19" xfId="0" applyFont="1" applyFill="1" applyBorder="1" applyAlignment="1">
      <alignment vertical="center"/>
    </xf>
    <xf numFmtId="0" fontId="10" fillId="14" borderId="61" xfId="0" applyFont="1" applyFill="1" applyBorder="1" applyAlignment="1">
      <alignment horizontal="centerContinuous" vertical="center"/>
    </xf>
    <xf numFmtId="0" fontId="10" fillId="14" borderId="62" xfId="0" applyFont="1" applyFill="1" applyBorder="1" applyAlignment="1">
      <alignment horizontal="centerContinuous" vertical="center"/>
    </xf>
    <xf numFmtId="0" fontId="10" fillId="14" borderId="63" xfId="0" applyFont="1" applyFill="1" applyBorder="1" applyAlignment="1">
      <alignment horizontal="centerContinuous" vertical="center"/>
    </xf>
    <xf numFmtId="0" fontId="10" fillId="14" borderId="64" xfId="0" applyFont="1" applyFill="1" applyBorder="1" applyAlignment="1">
      <alignment horizontal="center" vertical="center"/>
    </xf>
    <xf numFmtId="0" fontId="10" fillId="14" borderId="65" xfId="0" applyFont="1" applyFill="1" applyBorder="1" applyAlignment="1">
      <alignment horizontal="center" vertical="center"/>
    </xf>
    <xf numFmtId="0" fontId="10" fillId="14" borderId="66" xfId="0" applyFont="1" applyFill="1" applyBorder="1" applyAlignment="1">
      <alignment horizontal="center" vertical="center"/>
    </xf>
    <xf numFmtId="0" fontId="10" fillId="14" borderId="67" xfId="0" applyFont="1" applyFill="1" applyBorder="1" applyAlignment="1">
      <alignment horizontal="center" vertical="center"/>
    </xf>
    <xf numFmtId="0" fontId="10" fillId="14" borderId="68" xfId="0" applyFont="1" applyFill="1" applyBorder="1" applyAlignment="1">
      <alignment horizontal="center" vertical="center"/>
    </xf>
    <xf numFmtId="0" fontId="5" fillId="14" borderId="69" xfId="0" applyFont="1" applyFill="1" applyBorder="1" applyAlignment="1">
      <alignment horizontal="centerContinuous" vertical="center"/>
    </xf>
    <xf numFmtId="0" fontId="44" fillId="14" borderId="59" xfId="0" applyFont="1" applyFill="1" applyBorder="1" applyAlignment="1">
      <alignment horizontal="centerContinuous" vertical="center"/>
    </xf>
    <xf numFmtId="5" fontId="0" fillId="0" borderId="12" xfId="0" applyNumberFormat="1" applyAlignment="1">
      <alignment horizontal="center"/>
    </xf>
    <xf numFmtId="10" fontId="0" fillId="0" borderId="12" xfId="5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5" fontId="0" fillId="0" borderId="18" xfId="0" applyNumberFormat="1" applyBorder="1" applyAlignment="1">
      <alignment horizontal="center"/>
    </xf>
    <xf numFmtId="10" fontId="0" fillId="0" borderId="38" xfId="5" applyNumberFormat="1" applyFont="1" applyBorder="1" applyAlignment="1">
      <alignment horizontal="center"/>
    </xf>
    <xf numFmtId="0" fontId="0" fillId="0" borderId="16" xfId="0" applyBorder="1" applyAlignment="1">
      <alignment horizontal="right" vertical="center"/>
    </xf>
    <xf numFmtId="170" fontId="26" fillId="0" borderId="20" xfId="0" applyNumberFormat="1" applyFont="1" applyBorder="1" applyAlignment="1">
      <alignment horizontal="right" vertical="center"/>
    </xf>
    <xf numFmtId="0" fontId="26" fillId="0" borderId="16" xfId="0" applyFont="1" applyBorder="1" applyAlignment="1">
      <alignment horizontal="right"/>
    </xf>
    <xf numFmtId="0" fontId="26" fillId="0" borderId="18" xfId="0" applyFont="1" applyBorder="1" applyAlignment="1">
      <alignment horizontal="right"/>
    </xf>
    <xf numFmtId="14" fontId="26" fillId="0" borderId="20" xfId="1" applyNumberFormat="1" applyFont="1" applyBorder="1" applyAlignment="1">
      <alignment horizontal="right" vertical="center"/>
    </xf>
    <xf numFmtId="0" fontId="3" fillId="14" borderId="4" xfId="0" applyFont="1" applyFill="1" applyBorder="1" applyAlignment="1">
      <alignment horizontal="center" vertical="center"/>
    </xf>
    <xf numFmtId="0" fontId="0" fillId="14" borderId="70" xfId="0" applyFill="1" applyBorder="1"/>
    <xf numFmtId="0" fontId="2" fillId="3" borderId="9" xfId="0" applyFont="1" applyFill="1" applyBorder="1" applyAlignment="1">
      <alignment horizontal="center" vertical="center"/>
    </xf>
    <xf numFmtId="0" fontId="0" fillId="0" borderId="72" xfId="0" applyBorder="1"/>
    <xf numFmtId="0" fontId="2" fillId="3" borderId="11" xfId="0" applyFont="1" applyFill="1" applyBorder="1" applyAlignment="1">
      <alignment horizontal="center" vertical="center"/>
    </xf>
    <xf numFmtId="0" fontId="0" fillId="0" borderId="71" xfId="0" applyBorder="1"/>
    <xf numFmtId="10" fontId="33" fillId="0" borderId="12" xfId="1" applyNumberFormat="1" applyFont="1" applyBorder="1" applyAlignment="1">
      <alignment horizontal="center" vertical="center" wrapText="1"/>
    </xf>
    <xf numFmtId="167" fontId="35" fillId="0" borderId="12" xfId="1" applyNumberFormat="1" applyFont="1" applyBorder="1" applyAlignment="1">
      <alignment horizontal="center" vertical="center"/>
    </xf>
    <xf numFmtId="167" fontId="39" fillId="0" borderId="12" xfId="1" applyNumberFormat="1" applyFont="1" applyBorder="1" applyAlignment="1">
      <alignment horizontal="center" vertical="center"/>
    </xf>
    <xf numFmtId="9" fontId="0" fillId="0" borderId="12" xfId="0" applyNumberFormat="1" applyBorder="1" applyAlignment="1">
      <alignment horizontal="center"/>
    </xf>
    <xf numFmtId="167" fontId="38" fillId="0" borderId="12" xfId="1" applyNumberFormat="1" applyFont="1" applyBorder="1" applyAlignment="1">
      <alignment horizontal="center" vertical="center"/>
    </xf>
  </cellXfs>
  <cellStyles count="6">
    <cellStyle name="Comma 2" xfId="2" xr:uid="{1C1F0C7A-D5CF-43EB-A964-9E68AE580A9E}"/>
    <cellStyle name="Normal" xfId="0" builtinId="0"/>
    <cellStyle name="Normal 2" xfId="1" xr:uid="{F011ED84-5DA3-4BFC-9620-0DE6CBC5B231}"/>
    <cellStyle name="Normal 3" xfId="3" xr:uid="{EF3C8D83-5F67-45AD-A47F-63042AD2D21B}"/>
    <cellStyle name="Percent" xfId="5" builtinId="5"/>
    <cellStyle name="Percent 2" xfId="4" xr:uid="{6F4B13B5-913F-460E-8659-2032B3CB5381}"/>
  </cellStyles>
  <dxfs count="6">
    <dxf>
      <font>
        <b/>
        <sz val="13"/>
        <color rgb="FF922B21"/>
        <name val="Arial"/>
      </font>
      <fill>
        <patternFill patternType="solid">
          <fgColor rgb="FFFCDCDC"/>
          <bgColor rgb="FFFCDCDC"/>
        </patternFill>
      </fill>
    </dxf>
    <dxf>
      <font>
        <b/>
        <sz val="13"/>
        <color rgb="FF7D6608"/>
        <name val="Arial"/>
      </font>
      <fill>
        <patternFill patternType="solid">
          <fgColor rgb="FFFFF3CD"/>
          <bgColor rgb="FFFFF3CD"/>
        </patternFill>
      </fill>
    </dxf>
    <dxf>
      <font>
        <b/>
        <sz val="13"/>
        <color rgb="FF276221"/>
        <name val="Arial"/>
      </font>
      <fill>
        <patternFill patternType="solid">
          <fgColor rgb="FFDFF0D8"/>
          <bgColor rgb="FFDFF0D8"/>
        </patternFill>
      </fill>
    </dxf>
    <dxf>
      <font>
        <b/>
        <sz val="10"/>
        <color rgb="FF922B21"/>
        <name val="Arial"/>
      </font>
      <fill>
        <patternFill patternType="solid">
          <fgColor rgb="FFFCDCDC"/>
          <bgColor rgb="FFFCDCDC"/>
        </patternFill>
      </fill>
    </dxf>
    <dxf>
      <font>
        <b/>
        <sz val="10"/>
        <color rgb="FF7D6608"/>
        <name val="Arial"/>
      </font>
      <fill>
        <patternFill patternType="solid">
          <fgColor rgb="FFFFF3CD"/>
          <bgColor rgb="FFFFF3CD"/>
        </patternFill>
      </fill>
    </dxf>
    <dxf>
      <font>
        <b/>
        <sz val="10"/>
        <color rgb="FF276221"/>
        <name val="Arial"/>
      </font>
      <fill>
        <patternFill patternType="solid">
          <fgColor rgb="FFDFF0D8"/>
          <bgColor rgb="FFDFF0D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CB100"/>
  </sheetPr>
  <dimension ref="B1:G18"/>
  <sheetViews>
    <sheetView showGridLines="0" workbookViewId="0">
      <selection activeCell="B2" sqref="B2"/>
    </sheetView>
  </sheetViews>
  <sheetFormatPr defaultRowHeight="14.5" x14ac:dyDescent="0.35"/>
  <cols>
    <col min="2" max="2" width="42" customWidth="1"/>
    <col min="3" max="3" width="12" customWidth="1"/>
    <col min="4" max="4" width="12" style="1" customWidth="1"/>
    <col min="5" max="5" width="16" style="1" customWidth="1"/>
    <col min="6" max="6" width="18" customWidth="1"/>
    <col min="7" max="7" width="48" customWidth="1"/>
  </cols>
  <sheetData>
    <row r="1" spans="2:7" ht="6" customHeight="1" x14ac:dyDescent="0.35">
      <c r="B1" s="3"/>
      <c r="C1" s="3"/>
      <c r="D1" s="3"/>
      <c r="E1" s="3"/>
      <c r="F1" s="3"/>
      <c r="G1" s="3"/>
    </row>
    <row r="2" spans="2:7" ht="28" customHeight="1" x14ac:dyDescent="0.35">
      <c r="B2" s="160" t="s">
        <v>59</v>
      </c>
      <c r="C2" s="329"/>
      <c r="D2" s="330"/>
      <c r="E2" s="9"/>
      <c r="F2" s="9"/>
      <c r="G2" s="9"/>
    </row>
    <row r="3" spans="2:7" ht="20" customHeight="1" x14ac:dyDescent="0.35">
      <c r="B3" s="11" t="s">
        <v>60</v>
      </c>
      <c r="C3" s="333"/>
      <c r="D3" s="334"/>
      <c r="E3" s="10"/>
      <c r="F3" s="10"/>
      <c r="G3" s="10"/>
    </row>
    <row r="4" spans="2:7" ht="20" customHeight="1" x14ac:dyDescent="0.35">
      <c r="B4" s="11" t="s">
        <v>61</v>
      </c>
      <c r="C4" s="333"/>
      <c r="D4" s="334"/>
      <c r="E4" s="10"/>
      <c r="F4" s="10"/>
      <c r="G4" s="10"/>
    </row>
    <row r="5" spans="2:7" ht="20" customHeight="1" x14ac:dyDescent="0.35">
      <c r="B5" s="12" t="s">
        <v>62</v>
      </c>
      <c r="C5" s="331" t="s">
        <v>63</v>
      </c>
      <c r="D5" s="332"/>
      <c r="E5" s="10"/>
      <c r="F5" s="10"/>
      <c r="G5" s="10"/>
    </row>
    <row r="6" spans="2:7" ht="6" customHeight="1" x14ac:dyDescent="0.35">
      <c r="B6" s="4"/>
      <c r="C6" s="4"/>
      <c r="D6" s="4"/>
      <c r="E6" s="4"/>
      <c r="F6" s="4"/>
      <c r="G6" s="4"/>
    </row>
    <row r="7" spans="2:7" ht="28" customHeight="1" x14ac:dyDescent="0.35">
      <c r="B7" s="15" t="s">
        <v>43</v>
      </c>
      <c r="C7" s="16" t="s">
        <v>64</v>
      </c>
      <c r="D7" s="16" t="s">
        <v>65</v>
      </c>
      <c r="E7" s="16" t="s">
        <v>66</v>
      </c>
      <c r="F7" s="16" t="s">
        <v>67</v>
      </c>
      <c r="G7" s="17" t="s">
        <v>68</v>
      </c>
    </row>
    <row r="8" spans="2:7" ht="22" customHeight="1" x14ac:dyDescent="0.35">
      <c r="B8" s="18" t="s">
        <v>69</v>
      </c>
      <c r="C8" s="5">
        <v>20</v>
      </c>
      <c r="D8" s="6">
        <v>5</v>
      </c>
      <c r="E8" s="5">
        <f t="shared" ref="E8:E14" si="0">(D8/5)*C8</f>
        <v>20</v>
      </c>
      <c r="F8" s="7"/>
      <c r="G8" s="19"/>
    </row>
    <row r="9" spans="2:7" ht="22" customHeight="1" x14ac:dyDescent="0.35">
      <c r="B9" s="20" t="s">
        <v>70</v>
      </c>
      <c r="C9" s="8">
        <v>15</v>
      </c>
      <c r="D9" s="6">
        <v>5</v>
      </c>
      <c r="E9" s="8">
        <f t="shared" si="0"/>
        <v>15</v>
      </c>
      <c r="F9" s="7"/>
      <c r="G9" s="19"/>
    </row>
    <row r="10" spans="2:7" ht="22" customHeight="1" x14ac:dyDescent="0.35">
      <c r="B10" s="18" t="s">
        <v>71</v>
      </c>
      <c r="C10" s="5">
        <v>15</v>
      </c>
      <c r="D10" s="6">
        <v>5</v>
      </c>
      <c r="E10" s="5">
        <f t="shared" si="0"/>
        <v>15</v>
      </c>
      <c r="F10" s="7"/>
      <c r="G10" s="19"/>
    </row>
    <row r="11" spans="2:7" ht="22" customHeight="1" x14ac:dyDescent="0.35">
      <c r="B11" s="20" t="s">
        <v>72</v>
      </c>
      <c r="C11" s="8">
        <v>15</v>
      </c>
      <c r="D11" s="6">
        <v>5</v>
      </c>
      <c r="E11" s="8">
        <f t="shared" si="0"/>
        <v>15</v>
      </c>
      <c r="F11" s="7"/>
      <c r="G11" s="19"/>
    </row>
    <row r="12" spans="2:7" ht="22" customHeight="1" x14ac:dyDescent="0.35">
      <c r="B12" s="18" t="s">
        <v>73</v>
      </c>
      <c r="C12" s="5">
        <v>15</v>
      </c>
      <c r="D12" s="6">
        <v>5</v>
      </c>
      <c r="E12" s="5">
        <f t="shared" si="0"/>
        <v>15</v>
      </c>
      <c r="F12" s="7"/>
      <c r="G12" s="19"/>
    </row>
    <row r="13" spans="2:7" ht="22" customHeight="1" x14ac:dyDescent="0.35">
      <c r="B13" s="20" t="s">
        <v>74</v>
      </c>
      <c r="C13" s="8">
        <v>15</v>
      </c>
      <c r="D13" s="6">
        <v>5</v>
      </c>
      <c r="E13" s="8">
        <f t="shared" si="0"/>
        <v>15</v>
      </c>
      <c r="F13" s="7"/>
      <c r="G13" s="19"/>
    </row>
    <row r="14" spans="2:7" ht="22" customHeight="1" x14ac:dyDescent="0.35">
      <c r="B14" s="21" t="s">
        <v>75</v>
      </c>
      <c r="C14" s="22">
        <v>5</v>
      </c>
      <c r="D14" s="23">
        <v>5</v>
      </c>
      <c r="E14" s="22">
        <f t="shared" si="0"/>
        <v>5</v>
      </c>
      <c r="F14" s="24"/>
      <c r="G14" s="25"/>
    </row>
    <row r="15" spans="2:7" ht="24" customHeight="1" x14ac:dyDescent="0.35">
      <c r="B15" s="26" t="s">
        <v>76</v>
      </c>
      <c r="C15" s="27"/>
      <c r="D15" s="27"/>
      <c r="E15" s="28">
        <f>SUM(E8:E14)</f>
        <v>100</v>
      </c>
      <c r="F15" s="27"/>
      <c r="G15" s="29"/>
    </row>
    <row r="16" spans="2:7" ht="22" customHeight="1" x14ac:dyDescent="0.35">
      <c r="B16" s="30" t="s">
        <v>77</v>
      </c>
      <c r="C16" s="31"/>
      <c r="D16" s="31"/>
      <c r="E16" s="31" t="str">
        <f>IF(E15&gt;=70,"Strong",IF(E15&gt;=55,"Mixed / Watch",IF(E15&gt;=50,"Weak","Negative")))</f>
        <v>Strong</v>
      </c>
      <c r="F16" s="31"/>
      <c r="G16" s="32"/>
    </row>
    <row r="17" spans="2:7" ht="22" customHeight="1" x14ac:dyDescent="0.35">
      <c r="B17" s="13" t="s">
        <v>78</v>
      </c>
      <c r="C17" s="14"/>
      <c r="D17" s="14"/>
      <c r="E17" s="14"/>
      <c r="F17" s="14"/>
      <c r="G17" s="14"/>
    </row>
    <row r="18" spans="2:7" ht="22" customHeight="1" x14ac:dyDescent="0.35">
      <c r="B18" s="13" t="s">
        <v>79</v>
      </c>
      <c r="C18" s="14"/>
      <c r="D18" s="14"/>
      <c r="E18" s="14"/>
      <c r="F18" s="14"/>
      <c r="G18" s="14"/>
    </row>
  </sheetData>
  <mergeCells count="4">
    <mergeCell ref="C2:D2"/>
    <mergeCell ref="C5:D5"/>
    <mergeCell ref="C3:D3"/>
    <mergeCell ref="C4:D4"/>
  </mergeCells>
  <conditionalFormatting sqref="D8:D14">
    <cfRule type="cellIs" dxfId="5" priority="1" operator="greaterThanOrEqual">
      <formula>4</formula>
    </cfRule>
    <cfRule type="cellIs" dxfId="4" priority="2" operator="equal">
      <formula>3</formula>
    </cfRule>
    <cfRule type="cellIs" dxfId="3" priority="3" operator="lessThanOrEqual">
      <formula>2</formula>
    </cfRule>
  </conditionalFormatting>
  <conditionalFormatting sqref="E15">
    <cfRule type="cellIs" dxfId="2" priority="4" operator="greaterThanOrEqual">
      <formula>70</formula>
    </cfRule>
    <cfRule type="cellIs" dxfId="1" priority="5" operator="between">
      <formula>55</formula>
      <formula>69.9</formula>
    </cfRule>
    <cfRule type="cellIs" dxfId="0" priority="6" operator="lessThan">
      <formula>55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CB100"/>
  </sheetPr>
  <dimension ref="B1:F91"/>
  <sheetViews>
    <sheetView showGridLines="0" topLeftCell="A27" workbookViewId="0">
      <selection activeCell="C35" sqref="C35:C36"/>
    </sheetView>
  </sheetViews>
  <sheetFormatPr defaultColWidth="9.1796875" defaultRowHeight="15.5" x14ac:dyDescent="0.35"/>
  <cols>
    <col min="1" max="1" width="9.1796875" style="2" customWidth="1"/>
    <col min="2" max="2" width="9.1796875" style="39" customWidth="1"/>
    <col min="3" max="3" width="27.1796875" style="2" bestFit="1" customWidth="1"/>
    <col min="4" max="4" width="52.08984375" style="2" customWidth="1"/>
    <col min="5" max="5" width="52" style="2" customWidth="1"/>
    <col min="6" max="9" width="9.1796875" style="2" customWidth="1"/>
    <col min="10" max="16384" width="9.1796875" style="2"/>
  </cols>
  <sheetData>
    <row r="1" spans="3:6" ht="6" customHeight="1" x14ac:dyDescent="0.35">
      <c r="C1" s="4"/>
      <c r="D1" s="4"/>
    </row>
    <row r="2" spans="3:6" ht="28" customHeight="1" x14ac:dyDescent="0.35">
      <c r="C2" s="44" t="s">
        <v>0</v>
      </c>
      <c r="D2" s="45"/>
      <c r="E2" s="45"/>
    </row>
    <row r="3" spans="3:6" ht="22" customHeight="1" x14ac:dyDescent="0.35">
      <c r="C3" s="157" t="s">
        <v>1</v>
      </c>
      <c r="D3" s="158"/>
      <c r="E3" s="159"/>
    </row>
    <row r="4" spans="3:6" ht="22" customHeight="1" x14ac:dyDescent="0.35">
      <c r="C4" s="33" t="s">
        <v>2</v>
      </c>
      <c r="D4" s="51" t="s">
        <v>43</v>
      </c>
      <c r="E4" s="33" t="s">
        <v>3</v>
      </c>
      <c r="F4" s="52" t="s">
        <v>127</v>
      </c>
    </row>
    <row r="5" spans="3:6" ht="22" customHeight="1" x14ac:dyDescent="0.35">
      <c r="C5" s="34">
        <v>5</v>
      </c>
      <c r="D5" s="35" t="s">
        <v>12</v>
      </c>
      <c r="E5" s="36" t="s">
        <v>5</v>
      </c>
      <c r="F5" s="52" t="s">
        <v>154</v>
      </c>
    </row>
    <row r="6" spans="3:6" ht="22" customHeight="1" x14ac:dyDescent="0.35">
      <c r="C6" s="34">
        <v>4</v>
      </c>
      <c r="D6" s="35" t="s">
        <v>10</v>
      </c>
      <c r="E6" s="36" t="s">
        <v>7</v>
      </c>
    </row>
    <row r="7" spans="3:6" ht="22" customHeight="1" x14ac:dyDescent="0.35">
      <c r="C7" s="37">
        <v>3</v>
      </c>
      <c r="D7" s="35" t="s">
        <v>8</v>
      </c>
      <c r="E7" s="36" t="s">
        <v>9</v>
      </c>
    </row>
    <row r="8" spans="3:6" ht="22" customHeight="1" x14ac:dyDescent="0.35">
      <c r="C8" s="38">
        <v>2</v>
      </c>
      <c r="D8" s="35" t="s">
        <v>6</v>
      </c>
      <c r="E8" s="36" t="s">
        <v>11</v>
      </c>
    </row>
    <row r="9" spans="3:6" ht="22" customHeight="1" x14ac:dyDescent="0.35">
      <c r="C9" s="38">
        <v>1</v>
      </c>
      <c r="D9" s="35" t="s">
        <v>4</v>
      </c>
      <c r="E9" s="36" t="s">
        <v>13</v>
      </c>
    </row>
    <row r="10" spans="3:6" ht="22" customHeight="1" x14ac:dyDescent="0.35">
      <c r="C10" s="157" t="s">
        <v>14</v>
      </c>
      <c r="D10" s="158"/>
      <c r="E10" s="159"/>
    </row>
    <row r="11" spans="3:6" ht="22" customHeight="1" x14ac:dyDescent="0.35">
      <c r="C11" s="33" t="s">
        <v>2</v>
      </c>
      <c r="D11" s="33" t="s">
        <v>43</v>
      </c>
      <c r="E11" s="33" t="s">
        <v>3</v>
      </c>
      <c r="F11" s="52" t="s">
        <v>124</v>
      </c>
    </row>
    <row r="12" spans="3:6" ht="22" customHeight="1" x14ac:dyDescent="0.35">
      <c r="C12" s="34">
        <v>5</v>
      </c>
      <c r="D12" s="35" t="s">
        <v>15</v>
      </c>
      <c r="E12" s="36" t="s">
        <v>16</v>
      </c>
      <c r="F12" s="52" t="s">
        <v>154</v>
      </c>
    </row>
    <row r="13" spans="3:6" ht="22" customHeight="1" x14ac:dyDescent="0.35">
      <c r="C13" s="34">
        <v>4</v>
      </c>
      <c r="D13" s="35" t="s">
        <v>17</v>
      </c>
      <c r="E13" s="36" t="s">
        <v>18</v>
      </c>
    </row>
    <row r="14" spans="3:6" ht="22" customHeight="1" x14ac:dyDescent="0.35">
      <c r="C14" s="37">
        <v>3</v>
      </c>
      <c r="D14" s="35" t="s">
        <v>19</v>
      </c>
      <c r="E14" s="36" t="s">
        <v>20</v>
      </c>
    </row>
    <row r="15" spans="3:6" ht="22" customHeight="1" x14ac:dyDescent="0.35">
      <c r="C15" s="38">
        <v>2</v>
      </c>
      <c r="D15" s="35" t="s">
        <v>21</v>
      </c>
      <c r="E15" s="36" t="s">
        <v>22</v>
      </c>
    </row>
    <row r="16" spans="3:6" ht="22" customHeight="1" x14ac:dyDescent="0.35">
      <c r="C16" s="38">
        <v>1</v>
      </c>
      <c r="D16" s="35" t="s">
        <v>23</v>
      </c>
      <c r="E16" s="36" t="s">
        <v>24</v>
      </c>
    </row>
    <row r="17" spans="3:6" ht="22" customHeight="1" x14ac:dyDescent="0.35">
      <c r="C17" s="157" t="s">
        <v>25</v>
      </c>
      <c r="D17" s="158"/>
      <c r="E17" s="159"/>
    </row>
    <row r="18" spans="3:6" ht="22" customHeight="1" x14ac:dyDescent="0.35">
      <c r="C18" s="33" t="s">
        <v>2</v>
      </c>
      <c r="D18" s="33" t="s">
        <v>43</v>
      </c>
      <c r="E18" s="33" t="s">
        <v>3</v>
      </c>
      <c r="F18" s="52" t="s">
        <v>125</v>
      </c>
    </row>
    <row r="19" spans="3:6" ht="22" customHeight="1" x14ac:dyDescent="0.35">
      <c r="C19" s="34">
        <v>5</v>
      </c>
      <c r="D19" s="35" t="s">
        <v>26</v>
      </c>
      <c r="E19" s="36" t="s">
        <v>27</v>
      </c>
      <c r="F19" s="52" t="s">
        <v>154</v>
      </c>
    </row>
    <row r="20" spans="3:6" ht="22" customHeight="1" x14ac:dyDescent="0.35">
      <c r="C20" s="34">
        <v>4</v>
      </c>
      <c r="D20" s="35" t="s">
        <v>28</v>
      </c>
      <c r="E20" s="36" t="s">
        <v>29</v>
      </c>
    </row>
    <row r="21" spans="3:6" ht="22" customHeight="1" x14ac:dyDescent="0.35">
      <c r="C21" s="37">
        <v>3</v>
      </c>
      <c r="D21" s="35" t="s">
        <v>30</v>
      </c>
      <c r="E21" s="36" t="s">
        <v>31</v>
      </c>
    </row>
    <row r="22" spans="3:6" ht="22" customHeight="1" x14ac:dyDescent="0.35">
      <c r="C22" s="38">
        <v>2</v>
      </c>
      <c r="D22" s="35" t="s">
        <v>32</v>
      </c>
      <c r="E22" s="36" t="s">
        <v>33</v>
      </c>
    </row>
    <row r="23" spans="3:6" ht="22" customHeight="1" x14ac:dyDescent="0.35">
      <c r="C23" s="38">
        <v>1</v>
      </c>
      <c r="D23" s="35" t="s">
        <v>34</v>
      </c>
      <c r="E23" s="36" t="s">
        <v>35</v>
      </c>
    </row>
    <row r="24" spans="3:6" ht="22" customHeight="1" x14ac:dyDescent="0.35">
      <c r="C24" s="157" t="s">
        <v>36</v>
      </c>
      <c r="D24" s="158"/>
      <c r="E24" s="159"/>
    </row>
    <row r="25" spans="3:6" ht="22" customHeight="1" x14ac:dyDescent="0.35">
      <c r="C25" s="33" t="s">
        <v>2</v>
      </c>
      <c r="D25" s="33" t="s">
        <v>43</v>
      </c>
      <c r="E25" s="33" t="s">
        <v>3</v>
      </c>
      <c r="F25" s="52" t="s">
        <v>126</v>
      </c>
    </row>
    <row r="26" spans="3:6" ht="22" customHeight="1" x14ac:dyDescent="0.35">
      <c r="C26" s="34">
        <v>5</v>
      </c>
      <c r="D26" s="35" t="s">
        <v>26</v>
      </c>
      <c r="E26" s="36" t="s">
        <v>37</v>
      </c>
      <c r="F26" s="52" t="s">
        <v>154</v>
      </c>
    </row>
    <row r="27" spans="3:6" ht="22" customHeight="1" x14ac:dyDescent="0.35">
      <c r="C27" s="34">
        <v>4</v>
      </c>
      <c r="D27" s="35" t="s">
        <v>28</v>
      </c>
      <c r="E27" s="36" t="s">
        <v>38</v>
      </c>
    </row>
    <row r="28" spans="3:6" ht="22" customHeight="1" x14ac:dyDescent="0.35">
      <c r="C28" s="37">
        <v>3</v>
      </c>
      <c r="D28" s="35" t="s">
        <v>30</v>
      </c>
      <c r="E28" s="36" t="s">
        <v>39</v>
      </c>
    </row>
    <row r="29" spans="3:6" ht="22" customHeight="1" x14ac:dyDescent="0.35">
      <c r="C29" s="38">
        <v>2</v>
      </c>
      <c r="D29" s="35" t="s">
        <v>32</v>
      </c>
      <c r="E29" s="36" t="s">
        <v>40</v>
      </c>
    </row>
    <row r="30" spans="3:6" ht="22" customHeight="1" x14ac:dyDescent="0.35">
      <c r="C30" s="38">
        <v>1</v>
      </c>
      <c r="D30" s="35" t="s">
        <v>34</v>
      </c>
      <c r="E30" s="36" t="s">
        <v>41</v>
      </c>
    </row>
    <row r="31" spans="3:6" ht="22" customHeight="1" x14ac:dyDescent="0.35">
      <c r="C31" s="157" t="s">
        <v>42</v>
      </c>
      <c r="D31" s="158"/>
      <c r="E31" s="159"/>
    </row>
    <row r="32" spans="3:6" ht="22" customHeight="1" x14ac:dyDescent="0.35">
      <c r="C32" s="33" t="s">
        <v>43</v>
      </c>
      <c r="D32" s="33" t="s">
        <v>44</v>
      </c>
      <c r="E32" s="33" t="s">
        <v>2</v>
      </c>
    </row>
    <row r="33" spans="3:6" ht="22" customHeight="1" x14ac:dyDescent="0.35">
      <c r="C33" s="50" t="s">
        <v>92</v>
      </c>
      <c r="D33" s="40">
        <v>0.4</v>
      </c>
      <c r="E33" s="41"/>
    </row>
    <row r="34" spans="3:6" s="39" customFormat="1" ht="22" customHeight="1" x14ac:dyDescent="0.35">
      <c r="C34" s="50" t="s">
        <v>93</v>
      </c>
      <c r="D34" s="40">
        <v>0.4</v>
      </c>
      <c r="E34" s="41"/>
    </row>
    <row r="35" spans="3:6" s="39" customFormat="1" ht="22" customHeight="1" x14ac:dyDescent="0.35">
      <c r="C35" s="50" t="s">
        <v>94</v>
      </c>
      <c r="D35" s="40">
        <v>0.1</v>
      </c>
      <c r="E35" s="41"/>
    </row>
    <row r="36" spans="3:6" ht="22" customHeight="1" x14ac:dyDescent="0.35">
      <c r="C36" s="50" t="s">
        <v>95</v>
      </c>
      <c r="D36" s="40">
        <v>0.1</v>
      </c>
      <c r="E36" s="41"/>
    </row>
    <row r="37" spans="3:6" s="39" customFormat="1" ht="22" customHeight="1" x14ac:dyDescent="0.35">
      <c r="C37" s="46" t="s">
        <v>45</v>
      </c>
      <c r="D37" s="42">
        <f>SUM(D33:D36)</f>
        <v>1</v>
      </c>
      <c r="E37" s="43">
        <f>SUMPRODUCT(E33:E36,D33:D36)/D37</f>
        <v>0</v>
      </c>
    </row>
    <row r="38" spans="3:6" s="39" customFormat="1" ht="22" customHeight="1" x14ac:dyDescent="0.35">
      <c r="C38" s="49" t="s">
        <v>91</v>
      </c>
      <c r="D38" s="47"/>
      <c r="E38" s="48"/>
    </row>
    <row r="39" spans="3:6" ht="22" customHeight="1" x14ac:dyDescent="0.35">
      <c r="C39" s="33" t="s">
        <v>2</v>
      </c>
      <c r="D39" s="33" t="s">
        <v>43</v>
      </c>
      <c r="E39" s="33" t="s">
        <v>3</v>
      </c>
      <c r="F39" s="52" t="s">
        <v>156</v>
      </c>
    </row>
    <row r="40" spans="3:6" ht="22" customHeight="1" x14ac:dyDescent="0.35">
      <c r="C40" s="34">
        <v>5</v>
      </c>
      <c r="D40" s="35" t="s">
        <v>103</v>
      </c>
      <c r="E40" s="36" t="s">
        <v>104</v>
      </c>
    </row>
    <row r="41" spans="3:6" ht="22" customHeight="1" x14ac:dyDescent="0.35">
      <c r="C41" s="34">
        <v>4</v>
      </c>
      <c r="D41" s="35" t="s">
        <v>105</v>
      </c>
      <c r="E41" s="36" t="s">
        <v>106</v>
      </c>
    </row>
    <row r="42" spans="3:6" ht="22" customHeight="1" x14ac:dyDescent="0.35">
      <c r="C42" s="37">
        <v>3</v>
      </c>
      <c r="D42" s="35" t="s">
        <v>107</v>
      </c>
      <c r="E42" s="36" t="s">
        <v>108</v>
      </c>
    </row>
    <row r="43" spans="3:6" ht="22" customHeight="1" x14ac:dyDescent="0.35">
      <c r="C43" s="38">
        <v>2</v>
      </c>
      <c r="D43" s="35" t="s">
        <v>109</v>
      </c>
      <c r="E43" s="36" t="s">
        <v>110</v>
      </c>
    </row>
    <row r="44" spans="3:6" ht="22" customHeight="1" x14ac:dyDescent="0.35">
      <c r="C44" s="38">
        <v>1</v>
      </c>
      <c r="D44" s="35" t="s">
        <v>111</v>
      </c>
      <c r="E44" s="36" t="s">
        <v>112</v>
      </c>
    </row>
    <row r="45" spans="3:6" s="39" customFormat="1" ht="22" customHeight="1" x14ac:dyDescent="0.35">
      <c r="C45" s="49" t="s">
        <v>90</v>
      </c>
      <c r="D45" s="47"/>
      <c r="E45" s="48"/>
    </row>
    <row r="46" spans="3:6" s="39" customFormat="1" ht="22" customHeight="1" x14ac:dyDescent="0.35">
      <c r="C46" s="33" t="s">
        <v>2</v>
      </c>
      <c r="D46" s="33" t="s">
        <v>43</v>
      </c>
      <c r="E46" s="33" t="s">
        <v>3</v>
      </c>
      <c r="F46" s="52" t="s">
        <v>128</v>
      </c>
    </row>
    <row r="47" spans="3:6" s="39" customFormat="1" ht="22" customHeight="1" x14ac:dyDescent="0.35">
      <c r="C47" s="34">
        <v>5</v>
      </c>
      <c r="D47" s="35" t="s">
        <v>80</v>
      </c>
      <c r="E47" s="36" t="s">
        <v>85</v>
      </c>
      <c r="F47" s="52" t="s">
        <v>157</v>
      </c>
    </row>
    <row r="48" spans="3:6" s="39" customFormat="1" ht="22" customHeight="1" x14ac:dyDescent="0.35">
      <c r="C48" s="34">
        <v>4</v>
      </c>
      <c r="D48" s="35" t="s">
        <v>81</v>
      </c>
      <c r="E48" s="36" t="s">
        <v>86</v>
      </c>
    </row>
    <row r="49" spans="3:6" s="39" customFormat="1" ht="22" customHeight="1" x14ac:dyDescent="0.35">
      <c r="C49" s="37">
        <v>3</v>
      </c>
      <c r="D49" s="35" t="s">
        <v>82</v>
      </c>
      <c r="E49" s="36" t="s">
        <v>87</v>
      </c>
    </row>
    <row r="50" spans="3:6" s="39" customFormat="1" ht="22" customHeight="1" x14ac:dyDescent="0.35">
      <c r="C50" s="38">
        <v>2</v>
      </c>
      <c r="D50" s="35" t="s">
        <v>83</v>
      </c>
      <c r="E50" s="36" t="s">
        <v>88</v>
      </c>
    </row>
    <row r="51" spans="3:6" s="39" customFormat="1" ht="22" customHeight="1" x14ac:dyDescent="0.35">
      <c r="C51" s="38">
        <v>1</v>
      </c>
      <c r="D51" s="35" t="s">
        <v>84</v>
      </c>
      <c r="E51" s="36" t="s">
        <v>89</v>
      </c>
    </row>
    <row r="52" spans="3:6" s="39" customFormat="1" ht="22" customHeight="1" x14ac:dyDescent="0.35">
      <c r="C52" s="49" t="s">
        <v>96</v>
      </c>
      <c r="D52" s="47"/>
      <c r="E52" s="48"/>
    </row>
    <row r="53" spans="3:6" s="39" customFormat="1" ht="22" customHeight="1" x14ac:dyDescent="0.35">
      <c r="C53" s="33" t="s">
        <v>2</v>
      </c>
      <c r="D53" s="33" t="s">
        <v>43</v>
      </c>
      <c r="E53" s="33" t="s">
        <v>3</v>
      </c>
      <c r="F53" s="52" t="s">
        <v>129</v>
      </c>
    </row>
    <row r="54" spans="3:6" s="39" customFormat="1" ht="22" customHeight="1" x14ac:dyDescent="0.35">
      <c r="C54" s="34">
        <v>5</v>
      </c>
      <c r="D54" s="35" t="s">
        <v>103</v>
      </c>
      <c r="E54" s="36" t="s">
        <v>113</v>
      </c>
      <c r="F54" s="52" t="s">
        <v>154</v>
      </c>
    </row>
    <row r="55" spans="3:6" s="39" customFormat="1" ht="22" customHeight="1" x14ac:dyDescent="0.35">
      <c r="C55" s="34">
        <v>4</v>
      </c>
      <c r="D55" s="35" t="s">
        <v>105</v>
      </c>
      <c r="E55" s="36" t="s">
        <v>114</v>
      </c>
    </row>
    <row r="56" spans="3:6" s="39" customFormat="1" ht="22" customHeight="1" x14ac:dyDescent="0.35">
      <c r="C56" s="37">
        <v>3</v>
      </c>
      <c r="D56" s="35" t="s">
        <v>107</v>
      </c>
      <c r="E56" s="36" t="s">
        <v>115</v>
      </c>
    </row>
    <row r="57" spans="3:6" s="39" customFormat="1" ht="22" customHeight="1" x14ac:dyDescent="0.35">
      <c r="C57" s="38">
        <v>2</v>
      </c>
      <c r="D57" s="35" t="s">
        <v>109</v>
      </c>
      <c r="E57" s="36" t="s">
        <v>116</v>
      </c>
    </row>
    <row r="58" spans="3:6" s="39" customFormat="1" ht="22" customHeight="1" x14ac:dyDescent="0.35">
      <c r="C58" s="38">
        <v>1</v>
      </c>
      <c r="D58" s="35" t="s">
        <v>111</v>
      </c>
      <c r="E58" s="36" t="s">
        <v>117</v>
      </c>
    </row>
    <row r="59" spans="3:6" s="39" customFormat="1" ht="22" customHeight="1" x14ac:dyDescent="0.35">
      <c r="C59" s="49" t="s">
        <v>97</v>
      </c>
      <c r="D59" s="47"/>
      <c r="E59" s="48"/>
    </row>
    <row r="60" spans="3:6" s="39" customFormat="1" ht="22" customHeight="1" x14ac:dyDescent="0.35">
      <c r="C60" s="33" t="s">
        <v>2</v>
      </c>
      <c r="D60" s="51" t="s">
        <v>43</v>
      </c>
      <c r="E60" s="33" t="s">
        <v>3</v>
      </c>
      <c r="F60" s="52" t="s">
        <v>123</v>
      </c>
    </row>
    <row r="61" spans="3:6" s="39" customFormat="1" ht="22" customHeight="1" x14ac:dyDescent="0.35">
      <c r="C61" s="34">
        <v>5</v>
      </c>
      <c r="D61" s="35" t="s">
        <v>98</v>
      </c>
      <c r="E61" s="36" t="s">
        <v>118</v>
      </c>
      <c r="F61" s="52" t="s">
        <v>154</v>
      </c>
    </row>
    <row r="62" spans="3:6" s="39" customFormat="1" ht="22" customHeight="1" x14ac:dyDescent="0.35">
      <c r="C62" s="34">
        <v>4</v>
      </c>
      <c r="D62" s="35" t="s">
        <v>99</v>
      </c>
      <c r="E62" s="36" t="s">
        <v>119</v>
      </c>
    </row>
    <row r="63" spans="3:6" s="39" customFormat="1" ht="22" customHeight="1" x14ac:dyDescent="0.35">
      <c r="C63" s="37">
        <v>3</v>
      </c>
      <c r="D63" s="35" t="s">
        <v>100</v>
      </c>
      <c r="E63" s="36" t="s">
        <v>120</v>
      </c>
    </row>
    <row r="64" spans="3:6" s="39" customFormat="1" ht="22" customHeight="1" x14ac:dyDescent="0.35">
      <c r="C64" s="38">
        <v>2</v>
      </c>
      <c r="D64" s="35" t="s">
        <v>101</v>
      </c>
      <c r="E64" s="36" t="s">
        <v>121</v>
      </c>
    </row>
    <row r="65" spans="3:6" s="39" customFormat="1" ht="22" customHeight="1" x14ac:dyDescent="0.35">
      <c r="C65" s="38">
        <v>1</v>
      </c>
      <c r="D65" s="35" t="s">
        <v>102</v>
      </c>
      <c r="E65" s="36" t="s">
        <v>122</v>
      </c>
    </row>
    <row r="66" spans="3:6" ht="22" customHeight="1" x14ac:dyDescent="0.35">
      <c r="C66" s="157" t="s">
        <v>47</v>
      </c>
      <c r="D66" s="158"/>
      <c r="E66" s="159"/>
    </row>
    <row r="67" spans="3:6" s="39" customFormat="1" ht="22" customHeight="1" x14ac:dyDescent="0.35">
      <c r="C67" s="33" t="s">
        <v>43</v>
      </c>
      <c r="D67" s="33" t="s">
        <v>44</v>
      </c>
      <c r="E67" s="33" t="s">
        <v>2</v>
      </c>
    </row>
    <row r="68" spans="3:6" s="39" customFormat="1" ht="22" customHeight="1" x14ac:dyDescent="0.35">
      <c r="C68" s="54" t="s">
        <v>130</v>
      </c>
      <c r="D68" s="40">
        <v>0.5</v>
      </c>
      <c r="E68" s="41"/>
    </row>
    <row r="69" spans="3:6" s="39" customFormat="1" ht="22" customHeight="1" x14ac:dyDescent="0.35">
      <c r="C69" s="50" t="s">
        <v>152</v>
      </c>
      <c r="D69" s="40">
        <f>1-D68</f>
        <v>0.5</v>
      </c>
      <c r="E69" s="41"/>
    </row>
    <row r="70" spans="3:6" s="39" customFormat="1" ht="22" customHeight="1" x14ac:dyDescent="0.35">
      <c r="C70" s="46" t="s">
        <v>45</v>
      </c>
      <c r="D70" s="42">
        <f>SUM(D68:D69)</f>
        <v>1</v>
      </c>
      <c r="E70" s="43">
        <f>SUMPRODUCT(E68:E69,D68:D69)/D70</f>
        <v>0</v>
      </c>
    </row>
    <row r="71" spans="3:6" s="39" customFormat="1" ht="22" customHeight="1" x14ac:dyDescent="0.35">
      <c r="C71" s="49" t="s">
        <v>141</v>
      </c>
      <c r="D71" s="47"/>
      <c r="E71" s="48"/>
    </row>
    <row r="72" spans="3:6" ht="22" customHeight="1" x14ac:dyDescent="0.35">
      <c r="C72" s="33" t="s">
        <v>2</v>
      </c>
      <c r="D72" s="33" t="s">
        <v>46</v>
      </c>
      <c r="E72" s="33" t="s">
        <v>3</v>
      </c>
    </row>
    <row r="73" spans="3:6" ht="22" customHeight="1" x14ac:dyDescent="0.35">
      <c r="C73" s="34">
        <v>5</v>
      </c>
      <c r="D73" s="35" t="s">
        <v>131</v>
      </c>
      <c r="E73" s="36" t="s">
        <v>132</v>
      </c>
      <c r="F73" s="52" t="s">
        <v>155</v>
      </c>
    </row>
    <row r="74" spans="3:6" ht="22" customHeight="1" x14ac:dyDescent="0.35">
      <c r="C74" s="34">
        <v>4</v>
      </c>
      <c r="D74" s="35" t="s">
        <v>133</v>
      </c>
      <c r="E74" s="36" t="s">
        <v>134</v>
      </c>
    </row>
    <row r="75" spans="3:6" ht="22" customHeight="1" x14ac:dyDescent="0.35">
      <c r="C75" s="37">
        <v>3</v>
      </c>
      <c r="D75" s="35" t="s">
        <v>135</v>
      </c>
      <c r="E75" s="36" t="s">
        <v>136</v>
      </c>
    </row>
    <row r="76" spans="3:6" ht="22" customHeight="1" x14ac:dyDescent="0.35">
      <c r="C76" s="38">
        <v>2</v>
      </c>
      <c r="D76" s="35" t="s">
        <v>137</v>
      </c>
      <c r="E76" s="36" t="s">
        <v>138</v>
      </c>
    </row>
    <row r="77" spans="3:6" ht="22" customHeight="1" x14ac:dyDescent="0.35">
      <c r="C77" s="38">
        <v>1</v>
      </c>
      <c r="D77" s="35" t="s">
        <v>139</v>
      </c>
      <c r="E77" s="36" t="s">
        <v>140</v>
      </c>
    </row>
    <row r="78" spans="3:6" s="39" customFormat="1" ht="22" customHeight="1" x14ac:dyDescent="0.35">
      <c r="C78" s="49" t="s">
        <v>153</v>
      </c>
      <c r="D78" s="47"/>
      <c r="E78" s="48"/>
    </row>
    <row r="79" spans="3:6" s="39" customFormat="1" ht="22" customHeight="1" x14ac:dyDescent="0.35">
      <c r="C79" s="33" t="s">
        <v>2</v>
      </c>
      <c r="D79" s="33" t="s">
        <v>46</v>
      </c>
      <c r="E79" s="33" t="s">
        <v>3</v>
      </c>
    </row>
    <row r="80" spans="3:6" s="39" customFormat="1" ht="22" customHeight="1" x14ac:dyDescent="0.35">
      <c r="C80" s="34">
        <v>5</v>
      </c>
      <c r="D80" s="53" t="s">
        <v>142</v>
      </c>
      <c r="E80" s="36" t="s">
        <v>143</v>
      </c>
      <c r="F80" s="52" t="s">
        <v>155</v>
      </c>
    </row>
    <row r="81" spans="3:6" s="39" customFormat="1" ht="22" customHeight="1" x14ac:dyDescent="0.35">
      <c r="C81" s="34">
        <v>4</v>
      </c>
      <c r="D81" s="35" t="s">
        <v>144</v>
      </c>
      <c r="E81" s="36" t="s">
        <v>145</v>
      </c>
    </row>
    <row r="82" spans="3:6" s="39" customFormat="1" ht="22" customHeight="1" x14ac:dyDescent="0.35">
      <c r="C82" s="37">
        <v>3</v>
      </c>
      <c r="D82" s="35" t="s">
        <v>146</v>
      </c>
      <c r="E82" s="36" t="s">
        <v>147</v>
      </c>
    </row>
    <row r="83" spans="3:6" s="39" customFormat="1" ht="22" customHeight="1" x14ac:dyDescent="0.35">
      <c r="C83" s="38">
        <v>2</v>
      </c>
      <c r="D83" s="35" t="s">
        <v>148</v>
      </c>
      <c r="E83" s="36" t="s">
        <v>149</v>
      </c>
    </row>
    <row r="84" spans="3:6" s="39" customFormat="1" ht="22" customHeight="1" x14ac:dyDescent="0.35">
      <c r="C84" s="38">
        <v>1</v>
      </c>
      <c r="D84" s="35" t="s">
        <v>150</v>
      </c>
      <c r="E84" s="36" t="s">
        <v>151</v>
      </c>
    </row>
    <row r="85" spans="3:6" ht="22" customHeight="1" x14ac:dyDescent="0.35">
      <c r="C85" s="157" t="s">
        <v>48</v>
      </c>
      <c r="D85" s="158"/>
      <c r="E85" s="159"/>
    </row>
    <row r="86" spans="3:6" ht="22" customHeight="1" x14ac:dyDescent="0.35">
      <c r="C86" s="33" t="s">
        <v>2</v>
      </c>
      <c r="D86" s="33" t="s">
        <v>43</v>
      </c>
      <c r="E86" s="33" t="s">
        <v>3</v>
      </c>
      <c r="F86" s="52"/>
    </row>
    <row r="87" spans="3:6" ht="22" customHeight="1" x14ac:dyDescent="0.35">
      <c r="C87" s="34">
        <v>5</v>
      </c>
      <c r="D87" s="35" t="s">
        <v>49</v>
      </c>
      <c r="E87" s="36" t="s">
        <v>50</v>
      </c>
      <c r="F87" s="52" t="s">
        <v>155</v>
      </c>
    </row>
    <row r="88" spans="3:6" ht="22" customHeight="1" x14ac:dyDescent="0.35">
      <c r="C88" s="34">
        <v>4</v>
      </c>
      <c r="D88" s="35" t="s">
        <v>51</v>
      </c>
      <c r="E88" s="36" t="s">
        <v>52</v>
      </c>
    </row>
    <row r="89" spans="3:6" ht="22" customHeight="1" x14ac:dyDescent="0.35">
      <c r="C89" s="37">
        <v>3</v>
      </c>
      <c r="D89" s="35" t="s">
        <v>53</v>
      </c>
      <c r="E89" s="36" t="s">
        <v>54</v>
      </c>
    </row>
    <row r="90" spans="3:6" ht="22" customHeight="1" x14ac:dyDescent="0.35">
      <c r="C90" s="38">
        <v>2</v>
      </c>
      <c r="D90" s="35" t="s">
        <v>55</v>
      </c>
      <c r="E90" s="36" t="s">
        <v>56</v>
      </c>
    </row>
    <row r="91" spans="3:6" ht="22" customHeight="1" x14ac:dyDescent="0.35">
      <c r="C91" s="38">
        <v>1</v>
      </c>
      <c r="D91" s="35" t="s">
        <v>57</v>
      </c>
      <c r="E91" s="36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7110-6BAE-4C23-84C2-F9AA2BB4F30B}">
  <sheetPr>
    <tabColor theme="4" tint="0.79998168889431442"/>
  </sheetPr>
  <dimension ref="A1:AG1162"/>
  <sheetViews>
    <sheetView showGridLines="0" tabSelected="1" topLeftCell="Q1" zoomScale="65" zoomScaleNormal="85" zoomScaleSheetLayoutView="55" workbookViewId="0">
      <selection activeCell="AG9" sqref="AG9:AG16"/>
    </sheetView>
  </sheetViews>
  <sheetFormatPr defaultColWidth="8.54296875" defaultRowHeight="14.5" x14ac:dyDescent="0.35"/>
  <cols>
    <col min="1" max="1" width="19.81640625" style="63" bestFit="1" customWidth="1"/>
    <col min="2" max="2" width="15.54296875" style="63" bestFit="1" customWidth="1"/>
    <col min="3" max="3" width="25.54296875" style="63" customWidth="1"/>
    <col min="4" max="4" width="65.54296875" style="150" bestFit="1" customWidth="1"/>
    <col min="5" max="16" width="13" style="151" bestFit="1" customWidth="1"/>
    <col min="17" max="17" width="15.453125" style="63" customWidth="1"/>
    <col min="18" max="18" width="11.453125" style="63" bestFit="1" customWidth="1"/>
    <col min="19" max="19" width="11.453125" style="63" customWidth="1"/>
    <col min="20" max="20" width="12.453125" style="63" bestFit="1" customWidth="1"/>
    <col min="21" max="21" width="11.453125" style="63" bestFit="1" customWidth="1"/>
    <col min="22" max="22" width="11.453125" style="63" customWidth="1"/>
    <col min="23" max="23" width="6.54296875" style="63" customWidth="1"/>
    <col min="24" max="24" width="3.453125" style="63" bestFit="1" customWidth="1"/>
    <col min="25" max="25" width="39.1796875" style="63" bestFit="1" customWidth="1"/>
    <col min="26" max="30" width="16.453125" style="124" bestFit="1" customWidth="1"/>
    <col min="31" max="32" width="8.54296875" style="63"/>
    <col min="33" max="33" width="30.453125" style="63" bestFit="1" customWidth="1"/>
    <col min="34" max="16384" width="8.54296875" style="63"/>
  </cols>
  <sheetData>
    <row r="1" spans="1:33" s="55" customFormat="1" ht="5.25" customHeight="1" x14ac:dyDescent="0.35">
      <c r="Z1" s="56"/>
      <c r="AA1" s="56"/>
      <c r="AB1" s="56"/>
      <c r="AC1" s="56"/>
      <c r="AD1" s="56"/>
    </row>
    <row r="2" spans="1:33" s="55" customFormat="1" ht="28.5" x14ac:dyDescent="0.65">
      <c r="B2" s="57" t="str">
        <f>C4&amp;" - T12"</f>
        <v>Property Name - T12</v>
      </c>
      <c r="D2" s="58"/>
      <c r="Z2" s="56"/>
      <c r="AA2" s="56"/>
      <c r="AB2" s="56"/>
      <c r="AC2" s="56"/>
      <c r="AD2" s="56"/>
    </row>
    <row r="3" spans="1:33" s="59" customFormat="1" x14ac:dyDescent="0.35">
      <c r="Z3" s="60"/>
      <c r="AA3" s="60"/>
      <c r="AB3" s="60"/>
      <c r="AC3" s="60"/>
      <c r="AD3" s="60"/>
    </row>
    <row r="4" spans="1:33" s="59" customFormat="1" x14ac:dyDescent="0.35">
      <c r="B4" s="61" t="s">
        <v>158</v>
      </c>
      <c r="C4" s="326" t="str">
        <f>'Trend Health Score'!B2</f>
        <v>Property Name</v>
      </c>
      <c r="Z4" s="60"/>
      <c r="AA4" s="60"/>
      <c r="AB4" s="60"/>
      <c r="AC4" s="60"/>
      <c r="AD4" s="60"/>
    </row>
    <row r="5" spans="1:33" s="59" customFormat="1" x14ac:dyDescent="0.35">
      <c r="B5" s="62" t="s">
        <v>159</v>
      </c>
      <c r="C5" s="327"/>
      <c r="Z5" s="60"/>
      <c r="AA5" s="60"/>
      <c r="AB5" s="60"/>
      <c r="AC5" s="60"/>
      <c r="AD5" s="60"/>
    </row>
    <row r="6" spans="1:33" x14ac:dyDescent="0.35">
      <c r="B6" s="64" t="s">
        <v>160</v>
      </c>
      <c r="C6" s="328"/>
      <c r="D6" s="65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5"/>
      <c r="S6" s="65"/>
      <c r="T6" s="65"/>
      <c r="U6" s="65"/>
      <c r="V6" s="65"/>
      <c r="Y6" s="67"/>
      <c r="Z6" s="68"/>
      <c r="AA6" s="68"/>
      <c r="AB6" s="68"/>
      <c r="AC6" s="68"/>
      <c r="AD6" s="68"/>
    </row>
    <row r="7" spans="1:33" ht="15" thickBot="1" x14ac:dyDescent="0.4">
      <c r="D7" s="65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5"/>
      <c r="S7" s="65"/>
      <c r="T7" s="65"/>
      <c r="U7" s="65"/>
      <c r="V7" s="65"/>
      <c r="Y7" s="67"/>
      <c r="Z7" s="68"/>
      <c r="AA7" s="68"/>
      <c r="AB7" s="68"/>
      <c r="AC7" s="68"/>
      <c r="AD7" s="68"/>
    </row>
    <row r="8" spans="1:33" ht="28" customHeight="1" x14ac:dyDescent="0.35">
      <c r="B8" s="152" t="s">
        <v>161</v>
      </c>
      <c r="C8" s="153" t="s">
        <v>162</v>
      </c>
      <c r="D8" s="154" t="s">
        <v>163</v>
      </c>
      <c r="E8" s="155">
        <f>IFERROR(EOMONTH(F8,-1),0)</f>
        <v>0</v>
      </c>
      <c r="F8" s="155">
        <f t="shared" ref="F8:O8" si="0">IFERROR(EOMONTH(G8,-1),0)</f>
        <v>0</v>
      </c>
      <c r="G8" s="155">
        <f t="shared" si="0"/>
        <v>0</v>
      </c>
      <c r="H8" s="155">
        <f t="shared" si="0"/>
        <v>0</v>
      </c>
      <c r="I8" s="155">
        <f t="shared" si="0"/>
        <v>0</v>
      </c>
      <c r="J8" s="155">
        <f t="shared" si="0"/>
        <v>0</v>
      </c>
      <c r="K8" s="155">
        <f t="shared" si="0"/>
        <v>0</v>
      </c>
      <c r="L8" s="155">
        <f t="shared" si="0"/>
        <v>0</v>
      </c>
      <c r="M8" s="155">
        <f t="shared" si="0"/>
        <v>0</v>
      </c>
      <c r="N8" s="155">
        <f t="shared" si="0"/>
        <v>0</v>
      </c>
      <c r="O8" s="155">
        <f t="shared" si="0"/>
        <v>0</v>
      </c>
      <c r="P8" s="156">
        <f>EOMONTH(C6,0)</f>
        <v>31</v>
      </c>
      <c r="Q8" s="69"/>
      <c r="R8" s="161" t="s">
        <v>164</v>
      </c>
      <c r="S8" s="162" t="s">
        <v>165</v>
      </c>
      <c r="T8" s="162" t="s">
        <v>166</v>
      </c>
      <c r="U8" s="162" t="s">
        <v>167</v>
      </c>
      <c r="V8" s="163" t="s">
        <v>168</v>
      </c>
      <c r="Y8" s="164" t="s">
        <v>162</v>
      </c>
      <c r="Z8" s="165" t="str">
        <f>R8</f>
        <v>T12</v>
      </c>
      <c r="AA8" s="166" t="str">
        <f>S8</f>
        <v>T9</v>
      </c>
      <c r="AB8" s="166" t="str">
        <f>T8</f>
        <v>T6</v>
      </c>
      <c r="AC8" s="166" t="str">
        <f>U8</f>
        <v>T3</v>
      </c>
      <c r="AD8" s="167" t="str">
        <f>V8</f>
        <v>T1</v>
      </c>
      <c r="AE8" s="70"/>
      <c r="AF8" s="70"/>
      <c r="AG8" s="168" t="s">
        <v>169</v>
      </c>
    </row>
    <row r="9" spans="1:33" x14ac:dyDescent="0.35">
      <c r="B9" s="71">
        <f t="shared" ref="B9:B72" si="1">SUM(E9:P9)</f>
        <v>0</v>
      </c>
      <c r="C9" s="72"/>
      <c r="D9" s="73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5"/>
      <c r="Q9" s="76"/>
      <c r="R9" s="77"/>
      <c r="S9" s="78"/>
      <c r="T9" s="78"/>
      <c r="U9" s="78"/>
      <c r="V9" s="79"/>
      <c r="Y9" s="80"/>
      <c r="Z9" s="81"/>
      <c r="AA9" s="335"/>
      <c r="AB9" s="335"/>
      <c r="AC9" s="335"/>
      <c r="AD9" s="82"/>
      <c r="AG9" s="83" t="s">
        <v>170</v>
      </c>
    </row>
    <row r="10" spans="1:33" x14ac:dyDescent="0.35">
      <c r="B10" s="71">
        <f t="shared" si="1"/>
        <v>0</v>
      </c>
      <c r="C10" s="72"/>
      <c r="D10" s="84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6"/>
      <c r="Q10" s="87"/>
      <c r="R10" s="88">
        <f>SUM(E10:P10)</f>
        <v>0</v>
      </c>
      <c r="S10" s="78">
        <f>SUM(H10:P10)/9*12</f>
        <v>0</v>
      </c>
      <c r="T10" s="78">
        <f>SUM(K10:P10)*2</f>
        <v>0</v>
      </c>
      <c r="U10" s="78">
        <f>SUM(N10:P10)*4</f>
        <v>0</v>
      </c>
      <c r="V10" s="79">
        <f>SUM(P10)*12</f>
        <v>0</v>
      </c>
      <c r="Y10" s="89" t="str">
        <f t="shared" ref="Y10:Y15" si="2">AG9</f>
        <v>Gross Potential Rents</v>
      </c>
      <c r="Z10" s="90">
        <f t="shared" ref="Z10:Z15" si="3">SUMIF($C:$C,$Y10,$R:$R)</f>
        <v>0</v>
      </c>
      <c r="AA10" s="336">
        <f t="shared" ref="AA10:AA15" si="4">SUMIF($C:$C,$Y10,$S:$S)</f>
        <v>0</v>
      </c>
      <c r="AB10" s="336">
        <f t="shared" ref="AB10:AB15" si="5">SUMIF($C:$C,$Y10,$T:$T)</f>
        <v>0</v>
      </c>
      <c r="AC10" s="336">
        <f t="shared" ref="AC10:AC15" si="6">SUMIF($C:$C,$Y10,$U:$U)</f>
        <v>0</v>
      </c>
      <c r="AD10" s="91">
        <f t="shared" ref="AD10:AD15" si="7">SUMIF($C:$C,$Y10,$V:$V)</f>
        <v>0</v>
      </c>
      <c r="AG10" s="83" t="s">
        <v>171</v>
      </c>
    </row>
    <row r="11" spans="1:33" ht="15.5" x14ac:dyDescent="0.35">
      <c r="B11" s="71">
        <f t="shared" si="1"/>
        <v>0</v>
      </c>
      <c r="C11" s="72"/>
      <c r="D11" s="92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93"/>
      <c r="Q11" s="94"/>
      <c r="R11" s="88">
        <f t="shared" ref="R11:R74" si="8">SUM(E11:P11)</f>
        <v>0</v>
      </c>
      <c r="S11" s="78">
        <f t="shared" ref="S11:S74" si="9">SUM(H11:P11)/9*12</f>
        <v>0</v>
      </c>
      <c r="T11" s="78">
        <f t="shared" ref="T11:T74" si="10">SUM(K11:P11)*2</f>
        <v>0</v>
      </c>
      <c r="U11" s="78">
        <f t="shared" ref="U11:U74" si="11">SUM(N11:P11)*4</f>
        <v>0</v>
      </c>
      <c r="V11" s="79">
        <f t="shared" ref="V11:V74" si="12">SUM(P11)*12</f>
        <v>0</v>
      </c>
      <c r="Y11" s="89" t="str">
        <f t="shared" si="2"/>
        <v>Less: Vacancy Loss</v>
      </c>
      <c r="Z11" s="90">
        <f t="shared" si="3"/>
        <v>0</v>
      </c>
      <c r="AA11" s="336">
        <f t="shared" si="4"/>
        <v>0</v>
      </c>
      <c r="AB11" s="336">
        <f t="shared" si="5"/>
        <v>0</v>
      </c>
      <c r="AC11" s="336">
        <f t="shared" si="6"/>
        <v>0</v>
      </c>
      <c r="AD11" s="91">
        <f t="shared" si="7"/>
        <v>0</v>
      </c>
      <c r="AG11" s="83" t="s">
        <v>172</v>
      </c>
    </row>
    <row r="12" spans="1:33" x14ac:dyDescent="0.35">
      <c r="B12" s="71">
        <f t="shared" si="1"/>
        <v>0</v>
      </c>
      <c r="C12" s="72"/>
      <c r="D12" s="72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6"/>
      <c r="Q12" s="97"/>
      <c r="R12" s="88">
        <f t="shared" si="8"/>
        <v>0</v>
      </c>
      <c r="S12" s="78">
        <f t="shared" si="9"/>
        <v>0</v>
      </c>
      <c r="T12" s="78">
        <f t="shared" si="10"/>
        <v>0</v>
      </c>
      <c r="U12" s="78">
        <f t="shared" si="11"/>
        <v>0</v>
      </c>
      <c r="V12" s="79">
        <f t="shared" si="12"/>
        <v>0</v>
      </c>
      <c r="Y12" s="89" t="str">
        <f t="shared" si="2"/>
        <v>Less: Loss to Lease</v>
      </c>
      <c r="Z12" s="90">
        <f t="shared" si="3"/>
        <v>0</v>
      </c>
      <c r="AA12" s="336">
        <f t="shared" si="4"/>
        <v>0</v>
      </c>
      <c r="AB12" s="336">
        <f t="shared" si="5"/>
        <v>0</v>
      </c>
      <c r="AC12" s="336">
        <f t="shared" si="6"/>
        <v>0</v>
      </c>
      <c r="AD12" s="91">
        <f t="shared" si="7"/>
        <v>0</v>
      </c>
      <c r="AG12" s="83" t="s">
        <v>173</v>
      </c>
    </row>
    <row r="13" spans="1:33" x14ac:dyDescent="0.35">
      <c r="A13" s="98"/>
      <c r="B13" s="71">
        <f t="shared" si="1"/>
        <v>0</v>
      </c>
      <c r="C13" s="72"/>
      <c r="D13" s="72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6"/>
      <c r="Q13" s="99"/>
      <c r="R13" s="88">
        <f t="shared" si="8"/>
        <v>0</v>
      </c>
      <c r="S13" s="78">
        <f t="shared" si="9"/>
        <v>0</v>
      </c>
      <c r="T13" s="78">
        <f t="shared" si="10"/>
        <v>0</v>
      </c>
      <c r="U13" s="78">
        <f t="shared" si="11"/>
        <v>0</v>
      </c>
      <c r="V13" s="79">
        <f t="shared" si="12"/>
        <v>0</v>
      </c>
      <c r="X13" s="100"/>
      <c r="Y13" s="89" t="str">
        <f t="shared" si="2"/>
        <v>Less: Non-Revenue Units</v>
      </c>
      <c r="Z13" s="90">
        <f t="shared" si="3"/>
        <v>0</v>
      </c>
      <c r="AA13" s="336">
        <f t="shared" si="4"/>
        <v>0</v>
      </c>
      <c r="AB13" s="336">
        <f t="shared" si="5"/>
        <v>0</v>
      </c>
      <c r="AC13" s="336">
        <f t="shared" si="6"/>
        <v>0</v>
      </c>
      <c r="AD13" s="91">
        <f t="shared" si="7"/>
        <v>0</v>
      </c>
      <c r="AG13" s="83" t="s">
        <v>174</v>
      </c>
    </row>
    <row r="14" spans="1:33" x14ac:dyDescent="0.35">
      <c r="B14" s="71">
        <f t="shared" si="1"/>
        <v>0</v>
      </c>
      <c r="C14" s="72"/>
      <c r="D14" s="72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6"/>
      <c r="Q14" s="99"/>
      <c r="R14" s="88">
        <f t="shared" si="8"/>
        <v>0</v>
      </c>
      <c r="S14" s="78">
        <f t="shared" si="9"/>
        <v>0</v>
      </c>
      <c r="T14" s="78">
        <f t="shared" si="10"/>
        <v>0</v>
      </c>
      <c r="U14" s="78">
        <f t="shared" si="11"/>
        <v>0</v>
      </c>
      <c r="V14" s="79">
        <f t="shared" si="12"/>
        <v>0</v>
      </c>
      <c r="X14" s="100"/>
      <c r="Y14" s="89" t="str">
        <f t="shared" si="2"/>
        <v>Less: Bad Debt</v>
      </c>
      <c r="Z14" s="90">
        <f t="shared" si="3"/>
        <v>0</v>
      </c>
      <c r="AA14" s="336">
        <f t="shared" si="4"/>
        <v>0</v>
      </c>
      <c r="AB14" s="336">
        <f t="shared" si="5"/>
        <v>0</v>
      </c>
      <c r="AC14" s="336">
        <f t="shared" si="6"/>
        <v>0</v>
      </c>
      <c r="AD14" s="91">
        <f t="shared" si="7"/>
        <v>0</v>
      </c>
      <c r="AG14" s="83" t="s">
        <v>175</v>
      </c>
    </row>
    <row r="15" spans="1:33" x14ac:dyDescent="0.35">
      <c r="B15" s="71">
        <f t="shared" si="1"/>
        <v>0</v>
      </c>
      <c r="C15" s="72"/>
      <c r="D15" s="72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6"/>
      <c r="Q15" s="101"/>
      <c r="R15" s="88">
        <f t="shared" si="8"/>
        <v>0</v>
      </c>
      <c r="S15" s="78">
        <f t="shared" si="9"/>
        <v>0</v>
      </c>
      <c r="T15" s="78">
        <f t="shared" si="10"/>
        <v>0</v>
      </c>
      <c r="U15" s="78">
        <f t="shared" si="11"/>
        <v>0</v>
      </c>
      <c r="V15" s="79">
        <f t="shared" si="12"/>
        <v>0</v>
      </c>
      <c r="X15" s="100"/>
      <c r="Y15" s="89" t="str">
        <f t="shared" si="2"/>
        <v>Less: Concessions</v>
      </c>
      <c r="Z15" s="90">
        <f t="shared" si="3"/>
        <v>0</v>
      </c>
      <c r="AA15" s="336">
        <f t="shared" si="4"/>
        <v>0</v>
      </c>
      <c r="AB15" s="336">
        <f t="shared" si="5"/>
        <v>0</v>
      </c>
      <c r="AC15" s="336">
        <f t="shared" si="6"/>
        <v>0</v>
      </c>
      <c r="AD15" s="91">
        <f t="shared" si="7"/>
        <v>0</v>
      </c>
      <c r="AG15" s="83" t="s">
        <v>243</v>
      </c>
    </row>
    <row r="16" spans="1:33" ht="15" thickBot="1" x14ac:dyDescent="0.4">
      <c r="B16" s="71">
        <f t="shared" si="1"/>
        <v>0</v>
      </c>
      <c r="C16" s="72"/>
      <c r="D16" s="72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6"/>
      <c r="Q16" s="99"/>
      <c r="R16" s="88">
        <f t="shared" si="8"/>
        <v>0</v>
      </c>
      <c r="S16" s="78">
        <f t="shared" si="9"/>
        <v>0</v>
      </c>
      <c r="T16" s="78">
        <f t="shared" si="10"/>
        <v>0</v>
      </c>
      <c r="U16" s="78">
        <f t="shared" si="11"/>
        <v>0</v>
      </c>
      <c r="V16" s="79">
        <f t="shared" si="12"/>
        <v>0</v>
      </c>
      <c r="X16" s="100"/>
      <c r="Y16" s="102" t="s">
        <v>176</v>
      </c>
      <c r="Z16" s="103">
        <f>SUM(Z10:Z15)</f>
        <v>0</v>
      </c>
      <c r="AA16" s="104">
        <f>SUM(AA10:AA15)</f>
        <v>0</v>
      </c>
      <c r="AB16" s="104">
        <f>SUM(AB10:AB15)</f>
        <v>0</v>
      </c>
      <c r="AC16" s="104">
        <f>SUM(AC10:AC15)</f>
        <v>0</v>
      </c>
      <c r="AD16" s="105">
        <f>SUM(AD10:AD15)</f>
        <v>0</v>
      </c>
      <c r="AG16" s="114" t="s">
        <v>244</v>
      </c>
    </row>
    <row r="17" spans="1:33" x14ac:dyDescent="0.35">
      <c r="B17" s="71">
        <f t="shared" si="1"/>
        <v>0</v>
      </c>
      <c r="C17" s="72"/>
      <c r="D17" s="72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6"/>
      <c r="Q17" s="99"/>
      <c r="R17" s="88">
        <f t="shared" si="8"/>
        <v>0</v>
      </c>
      <c r="S17" s="78">
        <f t="shared" si="9"/>
        <v>0</v>
      </c>
      <c r="T17" s="78">
        <f t="shared" si="10"/>
        <v>0</v>
      </c>
      <c r="U17" s="78">
        <f t="shared" si="11"/>
        <v>0</v>
      </c>
      <c r="V17" s="79">
        <f t="shared" si="12"/>
        <v>0</v>
      </c>
      <c r="X17" s="100"/>
      <c r="Y17" s="89" t="str">
        <f t="shared" ref="Y17:Y27" si="13">AG15</f>
        <v>Other Income</v>
      </c>
      <c r="Z17" s="90">
        <f t="shared" ref="Z17:Z27" si="14">SUMIF($C:$C,$Y17,$R:$R)</f>
        <v>0</v>
      </c>
      <c r="AA17" s="336">
        <f t="shared" ref="AA17:AA27" si="15">SUMIF($C:$C,$Y17,$S:$S)</f>
        <v>0</v>
      </c>
      <c r="AB17" s="336">
        <f t="shared" ref="AB17:AB27" si="16">SUMIF($C:$C,$Y17,$T:$T)</f>
        <v>0</v>
      </c>
      <c r="AC17" s="336">
        <f t="shared" ref="AC17:AC27" si="17">SUMIF($C:$C,$Y17,$U:$U)</f>
        <v>0</v>
      </c>
      <c r="AD17" s="91">
        <f t="shared" ref="AD17:AD27" si="18">SUMIF($C:$C,$Y17,$V:$V)</f>
        <v>0</v>
      </c>
      <c r="AG17"/>
    </row>
    <row r="18" spans="1:33" x14ac:dyDescent="0.35">
      <c r="B18" s="71">
        <f t="shared" si="1"/>
        <v>0</v>
      </c>
      <c r="C18" s="72"/>
      <c r="D18" s="72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6"/>
      <c r="Q18" s="99"/>
      <c r="R18" s="88">
        <f t="shared" si="8"/>
        <v>0</v>
      </c>
      <c r="S18" s="78">
        <f t="shared" si="9"/>
        <v>0</v>
      </c>
      <c r="T18" s="78">
        <f t="shared" si="10"/>
        <v>0</v>
      </c>
      <c r="U18" s="78">
        <f t="shared" si="11"/>
        <v>0</v>
      </c>
      <c r="V18" s="79">
        <f t="shared" si="12"/>
        <v>0</v>
      </c>
      <c r="X18" s="100"/>
      <c r="Y18" s="102" t="s">
        <v>177</v>
      </c>
      <c r="Z18" s="103">
        <f>SUM(Z16:Z17)</f>
        <v>0</v>
      </c>
      <c r="AA18" s="104">
        <f t="shared" ref="AA18:AD18" si="19">SUM(AA16:AA17)</f>
        <v>0</v>
      </c>
      <c r="AB18" s="104">
        <f t="shared" si="19"/>
        <v>0</v>
      </c>
      <c r="AC18" s="104">
        <f t="shared" si="19"/>
        <v>0</v>
      </c>
      <c r="AD18" s="105">
        <f t="shared" si="19"/>
        <v>0</v>
      </c>
      <c r="AG18"/>
    </row>
    <row r="19" spans="1:33" x14ac:dyDescent="0.35">
      <c r="A19" s="106"/>
      <c r="B19" s="71">
        <f t="shared" si="1"/>
        <v>0</v>
      </c>
      <c r="C19" s="72"/>
      <c r="D19" s="72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6"/>
      <c r="Q19" s="99"/>
      <c r="R19" s="88">
        <f t="shared" si="8"/>
        <v>0</v>
      </c>
      <c r="S19" s="78">
        <f t="shared" si="9"/>
        <v>0</v>
      </c>
      <c r="T19" s="78">
        <f t="shared" si="10"/>
        <v>0</v>
      </c>
      <c r="U19" s="78">
        <f t="shared" si="11"/>
        <v>0</v>
      </c>
      <c r="V19" s="79">
        <f t="shared" si="12"/>
        <v>0</v>
      </c>
      <c r="X19" s="107"/>
      <c r="Y19" s="89"/>
      <c r="Z19" s="111"/>
      <c r="AA19" s="337"/>
      <c r="AB19" s="337"/>
      <c r="AC19" s="337"/>
      <c r="AD19" s="112"/>
      <c r="AG19"/>
    </row>
    <row r="20" spans="1:33" x14ac:dyDescent="0.35">
      <c r="B20" s="71">
        <f t="shared" si="1"/>
        <v>0</v>
      </c>
      <c r="C20" s="72"/>
      <c r="D20" s="72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6"/>
      <c r="Q20" s="99"/>
      <c r="R20" s="88">
        <f t="shared" si="8"/>
        <v>0</v>
      </c>
      <c r="S20" s="78">
        <f t="shared" si="9"/>
        <v>0</v>
      </c>
      <c r="T20" s="78">
        <f t="shared" si="10"/>
        <v>0</v>
      </c>
      <c r="U20" s="78">
        <f t="shared" si="11"/>
        <v>0</v>
      </c>
      <c r="V20" s="79">
        <f t="shared" si="12"/>
        <v>0</v>
      </c>
      <c r="X20" s="100"/>
      <c r="Y20" s="89" t="str">
        <f>AG16</f>
        <v>Expense</v>
      </c>
      <c r="Z20" s="90">
        <f>SUMIF($C:$C,$Y20,$R:$R)</f>
        <v>0</v>
      </c>
      <c r="AA20" s="336">
        <f>SUMIF($C:$C,$Y20,$S:$S)</f>
        <v>0</v>
      </c>
      <c r="AB20" s="336">
        <f>SUMIF($C:$C,$Y20,$T:$T)</f>
        <v>0</v>
      </c>
      <c r="AC20" s="336">
        <f>SUMIF($C:$C,$Y20,$U:$U)</f>
        <v>0</v>
      </c>
      <c r="AD20" s="91">
        <f>SUMIF($C:$C,$Y20,$V:$V)</f>
        <v>0</v>
      </c>
      <c r="AG20"/>
    </row>
    <row r="21" spans="1:33" x14ac:dyDescent="0.35">
      <c r="A21" s="108"/>
      <c r="B21" s="71">
        <f t="shared" si="1"/>
        <v>0</v>
      </c>
      <c r="C21" s="72"/>
      <c r="D21" s="72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6"/>
      <c r="Q21" s="99"/>
      <c r="R21" s="88">
        <f t="shared" si="8"/>
        <v>0</v>
      </c>
      <c r="S21" s="78">
        <f t="shared" si="9"/>
        <v>0</v>
      </c>
      <c r="T21" s="78">
        <f t="shared" si="10"/>
        <v>0</v>
      </c>
      <c r="U21" s="78">
        <f t="shared" si="11"/>
        <v>0</v>
      </c>
      <c r="V21" s="79">
        <f t="shared" si="12"/>
        <v>0</v>
      </c>
      <c r="X21" s="100"/>
      <c r="Y21" s="116" t="s">
        <v>179</v>
      </c>
      <c r="Z21" s="338">
        <f>IFERROR(Z20/Z18,0)</f>
        <v>0</v>
      </c>
      <c r="AA21" s="338">
        <f>IFERROR(AA20/AA18,0)</f>
        <v>0</v>
      </c>
      <c r="AB21" s="338">
        <f>IFERROR(AB20/AB18,0)</f>
        <v>0</v>
      </c>
      <c r="AC21" s="338">
        <f>IFERROR(AC20/AC18,0)</f>
        <v>0</v>
      </c>
      <c r="AD21" s="117">
        <f>IFERROR(AD20/AD18,0)</f>
        <v>0</v>
      </c>
      <c r="AG21"/>
    </row>
    <row r="22" spans="1:33" x14ac:dyDescent="0.35">
      <c r="B22" s="71">
        <f t="shared" si="1"/>
        <v>0</v>
      </c>
      <c r="C22" s="72"/>
      <c r="D22" s="72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6"/>
      <c r="Q22" s="101"/>
      <c r="R22" s="88">
        <f t="shared" si="8"/>
        <v>0</v>
      </c>
      <c r="S22" s="78">
        <f t="shared" si="9"/>
        <v>0</v>
      </c>
      <c r="T22" s="78">
        <f t="shared" si="10"/>
        <v>0</v>
      </c>
      <c r="U22" s="78">
        <f t="shared" si="11"/>
        <v>0</v>
      </c>
      <c r="V22" s="79">
        <f t="shared" si="12"/>
        <v>0</v>
      </c>
      <c r="X22" s="100"/>
      <c r="Y22" s="102"/>
      <c r="Z22" s="118"/>
      <c r="AA22" s="339"/>
      <c r="AB22" s="339"/>
      <c r="AC22" s="339"/>
      <c r="AD22" s="119"/>
      <c r="AG22"/>
    </row>
    <row r="23" spans="1:33" ht="15" thickBot="1" x14ac:dyDescent="0.4">
      <c r="B23" s="71">
        <f t="shared" si="1"/>
        <v>0</v>
      </c>
      <c r="C23" s="72"/>
      <c r="D23" s="72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6"/>
      <c r="Q23" s="109"/>
      <c r="R23" s="88">
        <f t="shared" si="8"/>
        <v>0</v>
      </c>
      <c r="S23" s="78">
        <f t="shared" si="9"/>
        <v>0</v>
      </c>
      <c r="T23" s="78">
        <f t="shared" si="10"/>
        <v>0</v>
      </c>
      <c r="U23" s="78">
        <f t="shared" si="11"/>
        <v>0</v>
      </c>
      <c r="V23" s="79">
        <f t="shared" si="12"/>
        <v>0</v>
      </c>
      <c r="X23" s="100"/>
      <c r="Y23" s="120" t="s">
        <v>178</v>
      </c>
      <c r="Z23" s="121">
        <f>Z18-Z20</f>
        <v>0</v>
      </c>
      <c r="AA23" s="122">
        <f>AA18-AA20</f>
        <v>0</v>
      </c>
      <c r="AB23" s="122">
        <f>AB18-AB20</f>
        <v>0</v>
      </c>
      <c r="AC23" s="122">
        <f>AC18-AC20</f>
        <v>0</v>
      </c>
      <c r="AD23" s="123">
        <f>AD18-AD20</f>
        <v>0</v>
      </c>
      <c r="AG23"/>
    </row>
    <row r="24" spans="1:33" x14ac:dyDescent="0.35">
      <c r="B24" s="71">
        <f t="shared" si="1"/>
        <v>0</v>
      </c>
      <c r="C24" s="72"/>
      <c r="D24" s="72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6"/>
      <c r="Q24" s="87"/>
      <c r="R24" s="88">
        <f t="shared" si="8"/>
        <v>0</v>
      </c>
      <c r="S24" s="78">
        <f t="shared" si="9"/>
        <v>0</v>
      </c>
      <c r="T24" s="78">
        <f t="shared" si="10"/>
        <v>0</v>
      </c>
      <c r="U24" s="78">
        <f t="shared" si="11"/>
        <v>0</v>
      </c>
      <c r="V24" s="79">
        <f t="shared" si="12"/>
        <v>0</v>
      </c>
      <c r="X24" s="100"/>
      <c r="Y24"/>
      <c r="Z24"/>
      <c r="AA24"/>
      <c r="AB24"/>
      <c r="AC24"/>
      <c r="AD24"/>
      <c r="AG24"/>
    </row>
    <row r="25" spans="1:33" x14ac:dyDescent="0.35">
      <c r="A25" s="110"/>
      <c r="B25" s="71">
        <f t="shared" si="1"/>
        <v>0</v>
      </c>
      <c r="C25" s="72"/>
      <c r="D25" s="72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6"/>
      <c r="Q25" s="99"/>
      <c r="R25" s="88">
        <f t="shared" si="8"/>
        <v>0</v>
      </c>
      <c r="S25" s="78">
        <f t="shared" si="9"/>
        <v>0</v>
      </c>
      <c r="T25" s="78">
        <f t="shared" si="10"/>
        <v>0</v>
      </c>
      <c r="U25" s="78">
        <f t="shared" si="11"/>
        <v>0</v>
      </c>
      <c r="V25" s="79">
        <f t="shared" si="12"/>
        <v>0</v>
      </c>
      <c r="X25" s="100"/>
      <c r="Y25" s="169" t="s">
        <v>180</v>
      </c>
      <c r="Z25" s="173" t="str">
        <f>Z8</f>
        <v>T12</v>
      </c>
      <c r="AA25" s="173" t="str">
        <f>AA8</f>
        <v>T9</v>
      </c>
      <c r="AB25" s="171" t="str">
        <f>AB8</f>
        <v>T6</v>
      </c>
      <c r="AC25" s="171" t="str">
        <f>AC8</f>
        <v>T3</v>
      </c>
      <c r="AD25" s="172" t="str">
        <f>AD8</f>
        <v>T1</v>
      </c>
      <c r="AG25"/>
    </row>
    <row r="26" spans="1:33" x14ac:dyDescent="0.35">
      <c r="A26" s="108"/>
      <c r="B26" s="71">
        <f t="shared" si="1"/>
        <v>0</v>
      </c>
      <c r="C26" s="72"/>
      <c r="D26" s="72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6"/>
      <c r="Q26" s="99"/>
      <c r="R26" s="88">
        <f t="shared" si="8"/>
        <v>0</v>
      </c>
      <c r="S26" s="78">
        <f t="shared" si="9"/>
        <v>0</v>
      </c>
      <c r="T26" s="78">
        <f t="shared" si="10"/>
        <v>0</v>
      </c>
      <c r="U26" s="78">
        <f t="shared" si="11"/>
        <v>0</v>
      </c>
      <c r="V26" s="79">
        <f t="shared" si="12"/>
        <v>0</v>
      </c>
      <c r="X26" s="100"/>
      <c r="Y26" s="72" t="s">
        <v>181</v>
      </c>
      <c r="Z26" s="125"/>
      <c r="AA26" s="125"/>
      <c r="AB26" s="125"/>
      <c r="AC26" s="125"/>
      <c r="AD26" s="126"/>
      <c r="AG26"/>
    </row>
    <row r="27" spans="1:33" x14ac:dyDescent="0.35">
      <c r="A27" s="110"/>
      <c r="B27" s="71">
        <f t="shared" si="1"/>
        <v>0</v>
      </c>
      <c r="C27" s="72"/>
      <c r="D27" s="72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6"/>
      <c r="Q27" s="99"/>
      <c r="R27" s="88">
        <f t="shared" si="8"/>
        <v>0</v>
      </c>
      <c r="S27" s="78">
        <f t="shared" si="9"/>
        <v>0</v>
      </c>
      <c r="T27" s="78">
        <f t="shared" si="10"/>
        <v>0</v>
      </c>
      <c r="U27" s="78">
        <f t="shared" si="11"/>
        <v>0</v>
      </c>
      <c r="V27" s="79">
        <f t="shared" si="12"/>
        <v>0</v>
      </c>
      <c r="X27" s="100"/>
      <c r="Y27" s="72" t="s">
        <v>182</v>
      </c>
      <c r="Z27" s="125">
        <f>Z50</f>
        <v>0</v>
      </c>
      <c r="AA27" s="125">
        <f>AA50</f>
        <v>0</v>
      </c>
      <c r="AB27" s="125">
        <f>AB50</f>
        <v>0</v>
      </c>
      <c r="AC27" s="125">
        <f>AC50</f>
        <v>0</v>
      </c>
      <c r="AD27" s="126">
        <f>AD50</f>
        <v>0</v>
      </c>
      <c r="AG27"/>
    </row>
    <row r="28" spans="1:33" x14ac:dyDescent="0.35">
      <c r="A28" s="106"/>
      <c r="B28" s="71">
        <f t="shared" si="1"/>
        <v>0</v>
      </c>
      <c r="C28" s="72"/>
      <c r="D28" s="72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6"/>
      <c r="Q28" s="99"/>
      <c r="R28" s="88">
        <f t="shared" si="8"/>
        <v>0</v>
      </c>
      <c r="S28" s="78">
        <f t="shared" si="9"/>
        <v>0</v>
      </c>
      <c r="T28" s="78">
        <f t="shared" si="10"/>
        <v>0</v>
      </c>
      <c r="U28" s="78">
        <f t="shared" si="11"/>
        <v>0</v>
      </c>
      <c r="V28" s="79">
        <f t="shared" si="12"/>
        <v>0</v>
      </c>
      <c r="X28" s="100"/>
      <c r="Y28" s="127" t="s">
        <v>183</v>
      </c>
      <c r="Z28" s="128" t="str">
        <f>IF(ABS(Z27-Z26)&lt;1,"All Good","Error  $"&amp;TEXT(ABS(Z27-Z26),"#,##0"))</f>
        <v>All Good</v>
      </c>
      <c r="AA28" s="128" t="str">
        <f>IF(ABS(AA27-AA26)&lt;1,"All Good","Error  $"&amp;TEXT(ABS(AA27-AA26),"#,##0"))</f>
        <v>All Good</v>
      </c>
      <c r="AB28" s="128" t="str">
        <f t="shared" ref="AB28:AD28" si="20">IF(ABS(AB27-AB26)&lt;1,"All Good","Error  $"&amp;TEXT(ABS(AB27-AB26),"#,##0"))</f>
        <v>All Good</v>
      </c>
      <c r="AC28" s="128" t="str">
        <f t="shared" si="20"/>
        <v>All Good</v>
      </c>
      <c r="AD28" s="129" t="str">
        <f t="shared" si="20"/>
        <v>All Good</v>
      </c>
      <c r="AG28"/>
    </row>
    <row r="29" spans="1:33" x14ac:dyDescent="0.35">
      <c r="B29" s="71">
        <f t="shared" si="1"/>
        <v>0</v>
      </c>
      <c r="C29" s="72"/>
      <c r="D29" s="72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6"/>
      <c r="Q29" s="99"/>
      <c r="R29" s="88">
        <f t="shared" si="8"/>
        <v>0</v>
      </c>
      <c r="S29" s="78">
        <f t="shared" si="9"/>
        <v>0</v>
      </c>
      <c r="T29" s="78">
        <f t="shared" si="10"/>
        <v>0</v>
      </c>
      <c r="U29" s="78">
        <f t="shared" si="11"/>
        <v>0</v>
      </c>
      <c r="V29" s="79">
        <f t="shared" si="12"/>
        <v>0</v>
      </c>
      <c r="X29" s="100"/>
      <c r="AG29"/>
    </row>
    <row r="30" spans="1:33" x14ac:dyDescent="0.35">
      <c r="A30" s="113"/>
      <c r="B30" s="71">
        <f t="shared" si="1"/>
        <v>0</v>
      </c>
      <c r="C30" s="72"/>
      <c r="D30" s="72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6"/>
      <c r="Q30" s="99"/>
      <c r="R30" s="88">
        <f t="shared" si="8"/>
        <v>0</v>
      </c>
      <c r="S30" s="78">
        <f t="shared" si="9"/>
        <v>0</v>
      </c>
      <c r="T30" s="78">
        <f t="shared" si="10"/>
        <v>0</v>
      </c>
      <c r="U30" s="78">
        <f t="shared" si="11"/>
        <v>0</v>
      </c>
      <c r="V30" s="79">
        <f t="shared" si="12"/>
        <v>0</v>
      </c>
      <c r="X30" s="100"/>
      <c r="Y30" s="169" t="s">
        <v>43</v>
      </c>
      <c r="Z30" s="170" t="str">
        <f>Z25</f>
        <v>T12</v>
      </c>
      <c r="AA30" s="170" t="str">
        <f>AA25</f>
        <v>T9</v>
      </c>
      <c r="AB30" s="171" t="str">
        <f t="shared" ref="AB30:AD30" si="21">AB25</f>
        <v>T6</v>
      </c>
      <c r="AC30" s="171" t="str">
        <f t="shared" si="21"/>
        <v>T3</v>
      </c>
      <c r="AD30" s="172" t="str">
        <f t="shared" si="21"/>
        <v>T1</v>
      </c>
      <c r="AG30"/>
    </row>
    <row r="31" spans="1:33" x14ac:dyDescent="0.35">
      <c r="A31" s="106"/>
      <c r="B31" s="71">
        <f t="shared" si="1"/>
        <v>0</v>
      </c>
      <c r="C31" s="72"/>
      <c r="D31" s="72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6"/>
      <c r="Q31" s="99"/>
      <c r="R31" s="88">
        <f t="shared" si="8"/>
        <v>0</v>
      </c>
      <c r="S31" s="78">
        <f t="shared" si="9"/>
        <v>0</v>
      </c>
      <c r="T31" s="78">
        <f t="shared" si="10"/>
        <v>0</v>
      </c>
      <c r="U31" s="78">
        <f t="shared" si="11"/>
        <v>0</v>
      </c>
      <c r="V31" s="79">
        <f t="shared" si="12"/>
        <v>0</v>
      </c>
      <c r="X31" s="107"/>
      <c r="Y31" s="72" t="s">
        <v>184</v>
      </c>
      <c r="Z31" s="131">
        <f>IFERROR(Z16/Z10,0)</f>
        <v>0</v>
      </c>
      <c r="AA31" s="131">
        <f>IFERROR(AA16/AA10,0)</f>
        <v>0</v>
      </c>
      <c r="AB31" s="131">
        <f>IFERROR(AA16/AA10,0)</f>
        <v>0</v>
      </c>
      <c r="AC31" s="131">
        <f>IFERROR(AB16/AB10,0)</f>
        <v>0</v>
      </c>
      <c r="AD31" s="132">
        <f>IFERROR(AC16/AC10,0)</f>
        <v>0</v>
      </c>
      <c r="AG31"/>
    </row>
    <row r="32" spans="1:33" x14ac:dyDescent="0.35">
      <c r="A32" s="106"/>
      <c r="B32" s="71">
        <f t="shared" si="1"/>
        <v>0</v>
      </c>
      <c r="C32" s="72"/>
      <c r="D32" s="72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6"/>
      <c r="Q32" s="99"/>
      <c r="R32" s="88">
        <f t="shared" si="8"/>
        <v>0</v>
      </c>
      <c r="S32" s="78">
        <f t="shared" si="9"/>
        <v>0</v>
      </c>
      <c r="T32" s="78">
        <f t="shared" si="10"/>
        <v>0</v>
      </c>
      <c r="U32" s="78">
        <f t="shared" si="11"/>
        <v>0</v>
      </c>
      <c r="V32" s="79">
        <f t="shared" si="12"/>
        <v>0</v>
      </c>
      <c r="X32" s="107"/>
      <c r="Y32" s="72" t="s">
        <v>185</v>
      </c>
      <c r="Z32" s="131">
        <f>IFERROR(Z15/Z10,0)</f>
        <v>0</v>
      </c>
      <c r="AA32" s="131">
        <f>IFERROR(AA15/AA10,0)</f>
        <v>0</v>
      </c>
      <c r="AB32" s="131">
        <f>IFERROR(AA15/AA10,0)</f>
        <v>0</v>
      </c>
      <c r="AC32" s="131">
        <f>IFERROR(AB15/AB10,0)</f>
        <v>0</v>
      </c>
      <c r="AD32" s="132">
        <f>IFERROR(AC15/AC10,0)</f>
        <v>0</v>
      </c>
      <c r="AG32"/>
    </row>
    <row r="33" spans="1:33" x14ac:dyDescent="0.35">
      <c r="A33" s="106"/>
      <c r="B33" s="71">
        <f t="shared" si="1"/>
        <v>0</v>
      </c>
      <c r="C33" s="72"/>
      <c r="D33" s="72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6"/>
      <c r="Q33" s="99"/>
      <c r="R33" s="88">
        <f t="shared" si="8"/>
        <v>0</v>
      </c>
      <c r="S33" s="78">
        <f t="shared" si="9"/>
        <v>0</v>
      </c>
      <c r="T33" s="78">
        <f t="shared" si="10"/>
        <v>0</v>
      </c>
      <c r="U33" s="78">
        <f t="shared" si="11"/>
        <v>0</v>
      </c>
      <c r="V33" s="79">
        <f t="shared" si="12"/>
        <v>0</v>
      </c>
      <c r="X33" s="100"/>
      <c r="Y33" s="72" t="s">
        <v>186</v>
      </c>
      <c r="Z33" s="131">
        <f>IFERROR(Z14/Z10,0)</f>
        <v>0</v>
      </c>
      <c r="AA33" s="131">
        <f>IFERROR(AA14/AA10,0)</f>
        <v>0</v>
      </c>
      <c r="AB33" s="131">
        <f>IFERROR(AA14/AA10,0)</f>
        <v>0</v>
      </c>
      <c r="AC33" s="131">
        <f>IFERROR(AB14/AB10,0)</f>
        <v>0</v>
      </c>
      <c r="AD33" s="132">
        <f>IFERROR(AC14/AC10,0)</f>
        <v>0</v>
      </c>
      <c r="AG33"/>
    </row>
    <row r="34" spans="1:33" x14ac:dyDescent="0.35">
      <c r="A34" s="106"/>
      <c r="B34" s="71">
        <f t="shared" si="1"/>
        <v>0</v>
      </c>
      <c r="C34" s="72"/>
      <c r="D34" s="72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6"/>
      <c r="Q34" s="99"/>
      <c r="R34" s="88">
        <f t="shared" si="8"/>
        <v>0</v>
      </c>
      <c r="S34" s="78">
        <f t="shared" si="9"/>
        <v>0</v>
      </c>
      <c r="T34" s="78">
        <f t="shared" si="10"/>
        <v>0</v>
      </c>
      <c r="U34" s="78">
        <f t="shared" si="11"/>
        <v>0</v>
      </c>
      <c r="V34" s="79">
        <f t="shared" si="12"/>
        <v>0</v>
      </c>
      <c r="X34" s="100"/>
      <c r="Y34" s="72" t="s">
        <v>92</v>
      </c>
      <c r="Z34" s="133">
        <f>Z16</f>
        <v>0</v>
      </c>
      <c r="AA34" s="133">
        <f>AA16</f>
        <v>0</v>
      </c>
      <c r="AB34" s="133">
        <f>AB16</f>
        <v>0</v>
      </c>
      <c r="AC34" s="133">
        <f>AC16</f>
        <v>0</v>
      </c>
      <c r="AD34" s="134">
        <f>AD16</f>
        <v>0</v>
      </c>
      <c r="AG34"/>
    </row>
    <row r="35" spans="1:33" x14ac:dyDescent="0.35">
      <c r="A35" s="106"/>
      <c r="B35" s="71">
        <f t="shared" si="1"/>
        <v>0</v>
      </c>
      <c r="C35" s="72"/>
      <c r="D35" s="72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6"/>
      <c r="Q35" s="99"/>
      <c r="R35" s="88">
        <f t="shared" si="8"/>
        <v>0</v>
      </c>
      <c r="S35" s="78">
        <f t="shared" si="9"/>
        <v>0</v>
      </c>
      <c r="T35" s="78">
        <f t="shared" si="10"/>
        <v>0</v>
      </c>
      <c r="U35" s="78">
        <f t="shared" si="11"/>
        <v>0</v>
      </c>
      <c r="V35" s="79">
        <f t="shared" si="12"/>
        <v>0</v>
      </c>
      <c r="X35" s="100"/>
      <c r="Y35" s="72" t="s">
        <v>241</v>
      </c>
      <c r="Z35" s="320">
        <f>IFERROR(AC34/Z34-1,0)</f>
        <v>0</v>
      </c>
      <c r="AD35" s="321"/>
      <c r="AG35"/>
    </row>
    <row r="36" spans="1:33" x14ac:dyDescent="0.35">
      <c r="A36" s="98"/>
      <c r="B36" s="71">
        <f t="shared" si="1"/>
        <v>0</v>
      </c>
      <c r="C36" s="72"/>
      <c r="D36" s="72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6"/>
      <c r="Q36" s="99"/>
      <c r="R36" s="88">
        <f t="shared" si="8"/>
        <v>0</v>
      </c>
      <c r="S36" s="78">
        <f t="shared" si="9"/>
        <v>0</v>
      </c>
      <c r="T36" s="78">
        <f t="shared" si="10"/>
        <v>0</v>
      </c>
      <c r="U36" s="78">
        <f t="shared" si="11"/>
        <v>0</v>
      </c>
      <c r="V36" s="79">
        <f t="shared" si="12"/>
        <v>0</v>
      </c>
      <c r="X36" s="100"/>
      <c r="Y36" s="72" t="s">
        <v>94</v>
      </c>
      <c r="Z36" s="319">
        <f>SUM(Z17:Z24)</f>
        <v>0</v>
      </c>
      <c r="AA36" s="319">
        <f>SUM(AA17:AA24)</f>
        <v>0</v>
      </c>
      <c r="AB36" s="319">
        <f>SUM(AA17:AA24)</f>
        <v>0</v>
      </c>
      <c r="AC36" s="319">
        <f>SUM(AB17:AB24)</f>
        <v>0</v>
      </c>
      <c r="AD36" s="322">
        <f>SUM(AC17:AC24)</f>
        <v>0</v>
      </c>
      <c r="AG36"/>
    </row>
    <row r="37" spans="1:33" x14ac:dyDescent="0.35">
      <c r="B37" s="71">
        <f t="shared" si="1"/>
        <v>0</v>
      </c>
      <c r="C37" s="72"/>
      <c r="D37" s="72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6"/>
      <c r="Q37" s="99"/>
      <c r="R37" s="88">
        <f t="shared" si="8"/>
        <v>0</v>
      </c>
      <c r="S37" s="78">
        <f t="shared" si="9"/>
        <v>0</v>
      </c>
      <c r="T37" s="78">
        <f t="shared" si="10"/>
        <v>0</v>
      </c>
      <c r="U37" s="78">
        <f t="shared" si="11"/>
        <v>0</v>
      </c>
      <c r="V37" s="79">
        <f t="shared" si="12"/>
        <v>0</v>
      </c>
      <c r="X37" s="100"/>
      <c r="Y37" s="127" t="s">
        <v>242</v>
      </c>
      <c r="Z37" s="323">
        <f>IFERROR(AC36/Z36-1,0)</f>
        <v>0</v>
      </c>
      <c r="AA37" s="128"/>
      <c r="AB37" s="128"/>
      <c r="AC37" s="128"/>
      <c r="AD37" s="129"/>
      <c r="AG37"/>
    </row>
    <row r="38" spans="1:33" x14ac:dyDescent="0.35">
      <c r="A38" s="106"/>
      <c r="B38" s="71">
        <f t="shared" si="1"/>
        <v>0</v>
      </c>
      <c r="C38" s="72"/>
      <c r="D38" s="72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6"/>
      <c r="Q38" s="99"/>
      <c r="R38" s="88">
        <f t="shared" si="8"/>
        <v>0</v>
      </c>
      <c r="S38" s="78">
        <f t="shared" si="9"/>
        <v>0</v>
      </c>
      <c r="T38" s="78">
        <f t="shared" si="10"/>
        <v>0</v>
      </c>
      <c r="U38" s="78">
        <f t="shared" si="11"/>
        <v>0</v>
      </c>
      <c r="V38" s="79">
        <f t="shared" si="12"/>
        <v>0</v>
      </c>
      <c r="X38" s="100"/>
      <c r="Y38"/>
      <c r="Z38"/>
      <c r="AA38"/>
      <c r="AB38"/>
      <c r="AC38"/>
      <c r="AD38"/>
      <c r="AG38"/>
    </row>
    <row r="39" spans="1:33" x14ac:dyDescent="0.35">
      <c r="A39" s="106"/>
      <c r="B39" s="71">
        <f t="shared" si="1"/>
        <v>0</v>
      </c>
      <c r="C39" s="72"/>
      <c r="D39" s="72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6"/>
      <c r="Q39" s="99"/>
      <c r="R39" s="88">
        <f t="shared" si="8"/>
        <v>0</v>
      </c>
      <c r="S39" s="78">
        <f t="shared" si="9"/>
        <v>0</v>
      </c>
      <c r="T39" s="78">
        <f t="shared" si="10"/>
        <v>0</v>
      </c>
      <c r="U39" s="78">
        <f t="shared" si="11"/>
        <v>0</v>
      </c>
      <c r="V39" s="79">
        <f t="shared" si="12"/>
        <v>0</v>
      </c>
      <c r="X39" s="100"/>
      <c r="Y39"/>
      <c r="Z39"/>
      <c r="AA39"/>
      <c r="AB39"/>
      <c r="AC39"/>
      <c r="AD39"/>
      <c r="AG39"/>
    </row>
    <row r="40" spans="1:33" x14ac:dyDescent="0.35">
      <c r="B40" s="71">
        <f t="shared" si="1"/>
        <v>0</v>
      </c>
      <c r="C40" s="72"/>
      <c r="D40" s="72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6"/>
      <c r="Q40" s="99"/>
      <c r="R40" s="88">
        <f t="shared" si="8"/>
        <v>0</v>
      </c>
      <c r="S40" s="78">
        <f t="shared" si="9"/>
        <v>0</v>
      </c>
      <c r="T40" s="78">
        <f t="shared" si="10"/>
        <v>0</v>
      </c>
      <c r="U40" s="78">
        <f t="shared" si="11"/>
        <v>0</v>
      </c>
      <c r="V40" s="79">
        <f t="shared" si="12"/>
        <v>0</v>
      </c>
      <c r="X40" s="100"/>
      <c r="Y40"/>
      <c r="Z40"/>
      <c r="AA40"/>
      <c r="AB40"/>
      <c r="AC40"/>
      <c r="AD40"/>
      <c r="AG40"/>
    </row>
    <row r="41" spans="1:33" x14ac:dyDescent="0.35">
      <c r="A41" s="110"/>
      <c r="B41" s="71">
        <f t="shared" si="1"/>
        <v>0</v>
      </c>
      <c r="C41" s="72"/>
      <c r="D41" s="72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6"/>
      <c r="Q41" s="99"/>
      <c r="R41" s="88">
        <f t="shared" si="8"/>
        <v>0</v>
      </c>
      <c r="S41" s="78">
        <f t="shared" si="9"/>
        <v>0</v>
      </c>
      <c r="T41" s="78">
        <f t="shared" si="10"/>
        <v>0</v>
      </c>
      <c r="U41" s="78">
        <f t="shared" si="11"/>
        <v>0</v>
      </c>
      <c r="V41" s="79">
        <f t="shared" si="12"/>
        <v>0</v>
      </c>
      <c r="X41" s="100"/>
      <c r="Y41"/>
      <c r="Z41"/>
      <c r="AA41"/>
      <c r="AB41"/>
      <c r="AC41"/>
      <c r="AD41"/>
    </row>
    <row r="42" spans="1:33" x14ac:dyDescent="0.35">
      <c r="A42" s="108"/>
      <c r="B42" s="71">
        <f t="shared" si="1"/>
        <v>0</v>
      </c>
      <c r="C42" s="72"/>
      <c r="D42" s="72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6"/>
      <c r="Q42" s="99"/>
      <c r="R42" s="88">
        <f t="shared" si="8"/>
        <v>0</v>
      </c>
      <c r="S42" s="78">
        <f t="shared" si="9"/>
        <v>0</v>
      </c>
      <c r="T42" s="78">
        <f t="shared" si="10"/>
        <v>0</v>
      </c>
      <c r="U42" s="78">
        <f t="shared" si="11"/>
        <v>0</v>
      </c>
      <c r="V42" s="79">
        <f t="shared" si="12"/>
        <v>0</v>
      </c>
      <c r="X42" s="100"/>
      <c r="Y42"/>
      <c r="Z42"/>
      <c r="AA42"/>
      <c r="AB42"/>
      <c r="AC42"/>
      <c r="AD42"/>
      <c r="AE42" s="115"/>
    </row>
    <row r="43" spans="1:33" x14ac:dyDescent="0.35">
      <c r="A43" s="106"/>
      <c r="B43" s="71">
        <f t="shared" si="1"/>
        <v>0</v>
      </c>
      <c r="C43" s="72"/>
      <c r="D43" s="72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6"/>
      <c r="Q43" s="101"/>
      <c r="R43" s="88">
        <f t="shared" si="8"/>
        <v>0</v>
      </c>
      <c r="S43" s="78">
        <f t="shared" si="9"/>
        <v>0</v>
      </c>
      <c r="T43" s="78">
        <f t="shared" si="10"/>
        <v>0</v>
      </c>
      <c r="U43" s="78">
        <f t="shared" si="11"/>
        <v>0</v>
      </c>
      <c r="V43" s="79">
        <f t="shared" si="12"/>
        <v>0</v>
      </c>
      <c r="X43" s="100"/>
      <c r="Y43"/>
      <c r="Z43"/>
      <c r="AA43"/>
      <c r="AB43"/>
      <c r="AC43"/>
      <c r="AD43"/>
    </row>
    <row r="44" spans="1:33" x14ac:dyDescent="0.35">
      <c r="B44" s="71">
        <f t="shared" si="1"/>
        <v>0</v>
      </c>
      <c r="C44" s="72"/>
      <c r="D44" s="72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6"/>
      <c r="Q44" s="109"/>
      <c r="R44" s="88">
        <f t="shared" si="8"/>
        <v>0</v>
      </c>
      <c r="S44" s="78">
        <f t="shared" si="9"/>
        <v>0</v>
      </c>
      <c r="T44" s="78">
        <f t="shared" si="10"/>
        <v>0</v>
      </c>
      <c r="U44" s="78">
        <f t="shared" si="11"/>
        <v>0</v>
      </c>
      <c r="V44" s="79">
        <f t="shared" si="12"/>
        <v>0</v>
      </c>
      <c r="X44" s="100"/>
    </row>
    <row r="45" spans="1:33" x14ac:dyDescent="0.35">
      <c r="A45" s="110"/>
      <c r="B45" s="71">
        <f t="shared" si="1"/>
        <v>0</v>
      </c>
      <c r="C45" s="72"/>
      <c r="D45" s="72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6"/>
      <c r="Q45" s="87"/>
      <c r="R45" s="88">
        <f t="shared" si="8"/>
        <v>0</v>
      </c>
      <c r="S45" s="78">
        <f t="shared" si="9"/>
        <v>0</v>
      </c>
      <c r="T45" s="78">
        <f t="shared" si="10"/>
        <v>0</v>
      </c>
      <c r="U45" s="78">
        <f t="shared" si="11"/>
        <v>0</v>
      </c>
      <c r="V45" s="79">
        <f t="shared" si="12"/>
        <v>0</v>
      </c>
      <c r="X45" s="100"/>
    </row>
    <row r="46" spans="1:33" x14ac:dyDescent="0.35">
      <c r="A46" s="110"/>
      <c r="B46" s="71">
        <f t="shared" si="1"/>
        <v>0</v>
      </c>
      <c r="C46" s="72"/>
      <c r="D46" s="72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6"/>
      <c r="Q46" s="99"/>
      <c r="R46" s="88">
        <f t="shared" si="8"/>
        <v>0</v>
      </c>
      <c r="S46" s="78">
        <f t="shared" si="9"/>
        <v>0</v>
      </c>
      <c r="T46" s="78">
        <f t="shared" si="10"/>
        <v>0</v>
      </c>
      <c r="U46" s="78">
        <f t="shared" si="11"/>
        <v>0</v>
      </c>
      <c r="V46" s="79">
        <f t="shared" si="12"/>
        <v>0</v>
      </c>
      <c r="X46" s="107"/>
    </row>
    <row r="47" spans="1:33" x14ac:dyDescent="0.35">
      <c r="B47" s="71">
        <f t="shared" si="1"/>
        <v>0</v>
      </c>
      <c r="C47" s="72"/>
      <c r="D47" s="72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6"/>
      <c r="Q47" s="101"/>
      <c r="R47" s="88">
        <f t="shared" si="8"/>
        <v>0</v>
      </c>
      <c r="S47" s="78">
        <f t="shared" si="9"/>
        <v>0</v>
      </c>
      <c r="T47" s="78">
        <f t="shared" si="10"/>
        <v>0</v>
      </c>
      <c r="U47" s="78">
        <f t="shared" si="11"/>
        <v>0</v>
      </c>
      <c r="V47" s="79">
        <f t="shared" si="12"/>
        <v>0</v>
      </c>
      <c r="Y47"/>
      <c r="Z47"/>
      <c r="AA47"/>
      <c r="AB47"/>
      <c r="AC47"/>
      <c r="AD47"/>
    </row>
    <row r="48" spans="1:33" x14ac:dyDescent="0.35">
      <c r="B48" s="71">
        <f t="shared" si="1"/>
        <v>0</v>
      </c>
      <c r="C48" s="72"/>
      <c r="D48" s="72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6"/>
      <c r="Q48" s="109"/>
      <c r="R48" s="88">
        <f t="shared" si="8"/>
        <v>0</v>
      </c>
      <c r="S48" s="78">
        <f t="shared" si="9"/>
        <v>0</v>
      </c>
      <c r="T48" s="78">
        <f t="shared" si="10"/>
        <v>0</v>
      </c>
      <c r="U48" s="78">
        <f t="shared" si="11"/>
        <v>0</v>
      </c>
      <c r="V48" s="79">
        <f t="shared" si="12"/>
        <v>0</v>
      </c>
      <c r="X48" s="107"/>
      <c r="Y48"/>
      <c r="Z48"/>
      <c r="AA48"/>
      <c r="AB48"/>
      <c r="AC48"/>
      <c r="AD48"/>
    </row>
    <row r="49" spans="1:33" x14ac:dyDescent="0.35">
      <c r="A49" s="98"/>
      <c r="B49" s="71">
        <f t="shared" si="1"/>
        <v>0</v>
      </c>
      <c r="C49" s="72"/>
      <c r="D49" s="72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6"/>
      <c r="Q49" s="87"/>
      <c r="R49" s="88">
        <f t="shared" si="8"/>
        <v>0</v>
      </c>
      <c r="S49" s="78">
        <f t="shared" si="9"/>
        <v>0</v>
      </c>
      <c r="T49" s="78">
        <f t="shared" si="10"/>
        <v>0</v>
      </c>
      <c r="U49" s="78">
        <f t="shared" si="11"/>
        <v>0</v>
      </c>
      <c r="V49" s="79">
        <f t="shared" si="12"/>
        <v>0</v>
      </c>
      <c r="X49" s="100"/>
      <c r="Y49"/>
      <c r="Z49"/>
      <c r="AA49"/>
      <c r="AB49"/>
      <c r="AC49"/>
      <c r="AD49"/>
    </row>
    <row r="50" spans="1:33" x14ac:dyDescent="0.35">
      <c r="A50" s="110"/>
      <c r="B50" s="71">
        <f t="shared" si="1"/>
        <v>0</v>
      </c>
      <c r="C50" s="72"/>
      <c r="D50" s="72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6"/>
      <c r="Q50" s="99"/>
      <c r="R50" s="88">
        <f t="shared" si="8"/>
        <v>0</v>
      </c>
      <c r="S50" s="78">
        <f t="shared" si="9"/>
        <v>0</v>
      </c>
      <c r="T50" s="78">
        <f t="shared" si="10"/>
        <v>0</v>
      </c>
      <c r="U50" s="78">
        <f t="shared" si="11"/>
        <v>0</v>
      </c>
      <c r="V50" s="79">
        <f t="shared" si="12"/>
        <v>0</v>
      </c>
      <c r="X50" s="107"/>
      <c r="Y50"/>
      <c r="Z50"/>
      <c r="AA50"/>
      <c r="AB50"/>
      <c r="AC50"/>
      <c r="AD50"/>
    </row>
    <row r="51" spans="1:33" x14ac:dyDescent="0.35">
      <c r="B51" s="71">
        <f t="shared" si="1"/>
        <v>0</v>
      </c>
      <c r="C51" s="72"/>
      <c r="D51" s="72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6"/>
      <c r="Q51" s="99"/>
      <c r="R51" s="88">
        <f t="shared" si="8"/>
        <v>0</v>
      </c>
      <c r="S51" s="78">
        <f t="shared" si="9"/>
        <v>0</v>
      </c>
      <c r="T51" s="78">
        <f t="shared" si="10"/>
        <v>0</v>
      </c>
      <c r="U51" s="78">
        <f t="shared" si="11"/>
        <v>0</v>
      </c>
      <c r="V51" s="79">
        <f t="shared" si="12"/>
        <v>0</v>
      </c>
      <c r="X51" s="100"/>
    </row>
    <row r="52" spans="1:33" x14ac:dyDescent="0.35">
      <c r="A52" s="106"/>
      <c r="B52" s="71">
        <f t="shared" si="1"/>
        <v>0</v>
      </c>
      <c r="C52" s="72"/>
      <c r="D52" s="72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6"/>
      <c r="Q52" s="99"/>
      <c r="R52" s="88">
        <f t="shared" si="8"/>
        <v>0</v>
      </c>
      <c r="S52" s="78">
        <f t="shared" si="9"/>
        <v>0</v>
      </c>
      <c r="T52" s="78">
        <f t="shared" si="10"/>
        <v>0</v>
      </c>
      <c r="U52" s="78">
        <f t="shared" si="11"/>
        <v>0</v>
      </c>
      <c r="V52" s="79">
        <f t="shared" si="12"/>
        <v>0</v>
      </c>
    </row>
    <row r="53" spans="1:33" x14ac:dyDescent="0.35">
      <c r="B53" s="71">
        <f t="shared" si="1"/>
        <v>0</v>
      </c>
      <c r="C53" s="72"/>
      <c r="D53" s="72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6"/>
      <c r="Q53" s="99"/>
      <c r="R53" s="88">
        <f t="shared" si="8"/>
        <v>0</v>
      </c>
      <c r="S53" s="78">
        <f t="shared" si="9"/>
        <v>0</v>
      </c>
      <c r="T53" s="78">
        <f t="shared" si="10"/>
        <v>0</v>
      </c>
      <c r="U53" s="78">
        <f t="shared" si="11"/>
        <v>0</v>
      </c>
      <c r="V53" s="79">
        <f t="shared" si="12"/>
        <v>0</v>
      </c>
      <c r="X53" s="107"/>
    </row>
    <row r="54" spans="1:33" x14ac:dyDescent="0.35">
      <c r="B54" s="71">
        <f t="shared" si="1"/>
        <v>0</v>
      </c>
      <c r="C54" s="72"/>
      <c r="D54" s="72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6"/>
      <c r="Q54" s="99"/>
      <c r="R54" s="88">
        <f t="shared" si="8"/>
        <v>0</v>
      </c>
      <c r="S54" s="78">
        <f t="shared" si="9"/>
        <v>0</v>
      </c>
      <c r="T54" s="78">
        <f t="shared" si="10"/>
        <v>0</v>
      </c>
      <c r="U54" s="78">
        <f t="shared" si="11"/>
        <v>0</v>
      </c>
      <c r="V54" s="79">
        <f t="shared" si="12"/>
        <v>0</v>
      </c>
    </row>
    <row r="55" spans="1:33" x14ac:dyDescent="0.35">
      <c r="A55" s="106"/>
      <c r="B55" s="71">
        <f t="shared" si="1"/>
        <v>0</v>
      </c>
      <c r="C55" s="72"/>
      <c r="D55" s="72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6"/>
      <c r="Q55" s="99"/>
      <c r="R55" s="88">
        <f t="shared" si="8"/>
        <v>0</v>
      </c>
      <c r="S55" s="78">
        <f t="shared" si="9"/>
        <v>0</v>
      </c>
      <c r="T55" s="78">
        <f t="shared" si="10"/>
        <v>0</v>
      </c>
      <c r="U55" s="78">
        <f t="shared" si="11"/>
        <v>0</v>
      </c>
      <c r="V55" s="79">
        <f t="shared" si="12"/>
        <v>0</v>
      </c>
    </row>
    <row r="56" spans="1:33" x14ac:dyDescent="0.35">
      <c r="B56" s="71">
        <f t="shared" si="1"/>
        <v>0</v>
      </c>
      <c r="C56" s="72"/>
      <c r="D56" s="72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6"/>
      <c r="Q56" s="99"/>
      <c r="R56" s="88">
        <f t="shared" si="8"/>
        <v>0</v>
      </c>
      <c r="S56" s="78">
        <f t="shared" si="9"/>
        <v>0</v>
      </c>
      <c r="T56" s="78">
        <f t="shared" si="10"/>
        <v>0</v>
      </c>
      <c r="U56" s="78">
        <f t="shared" si="11"/>
        <v>0</v>
      </c>
      <c r="V56" s="79">
        <f t="shared" si="12"/>
        <v>0</v>
      </c>
    </row>
    <row r="57" spans="1:33" x14ac:dyDescent="0.35">
      <c r="B57" s="71">
        <f t="shared" si="1"/>
        <v>0</v>
      </c>
      <c r="C57" s="72"/>
      <c r="D57" s="72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6"/>
      <c r="Q57" s="99"/>
      <c r="R57" s="88">
        <f t="shared" si="8"/>
        <v>0</v>
      </c>
      <c r="S57" s="78">
        <f t="shared" si="9"/>
        <v>0</v>
      </c>
      <c r="T57" s="78">
        <f t="shared" si="10"/>
        <v>0</v>
      </c>
      <c r="U57" s="78">
        <f t="shared" si="11"/>
        <v>0</v>
      </c>
      <c r="V57" s="79">
        <f t="shared" si="12"/>
        <v>0</v>
      </c>
      <c r="W57" s="65"/>
      <c r="AE57" s="65"/>
      <c r="AF57" s="65"/>
      <c r="AG57" s="65"/>
    </row>
    <row r="58" spans="1:33" s="65" customFormat="1" x14ac:dyDescent="0.35">
      <c r="B58" s="71">
        <f t="shared" si="1"/>
        <v>0</v>
      </c>
      <c r="C58" s="72"/>
      <c r="D58" s="72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6"/>
      <c r="Q58" s="130"/>
      <c r="R58" s="88">
        <f t="shared" si="8"/>
        <v>0</v>
      </c>
      <c r="S58" s="78">
        <f t="shared" si="9"/>
        <v>0</v>
      </c>
      <c r="T58" s="78">
        <f t="shared" si="10"/>
        <v>0</v>
      </c>
      <c r="U58" s="78">
        <f t="shared" si="11"/>
        <v>0</v>
      </c>
      <c r="V58" s="79">
        <f t="shared" si="12"/>
        <v>0</v>
      </c>
      <c r="W58" s="63"/>
      <c r="X58" s="63"/>
      <c r="AE58" s="63"/>
      <c r="AF58" s="63"/>
      <c r="AG58" s="63"/>
    </row>
    <row r="59" spans="1:33" x14ac:dyDescent="0.35">
      <c r="B59" s="71">
        <f t="shared" si="1"/>
        <v>0</v>
      </c>
      <c r="C59" s="72"/>
      <c r="D59" s="72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6"/>
      <c r="Q59" s="101"/>
      <c r="R59" s="88">
        <f t="shared" si="8"/>
        <v>0</v>
      </c>
      <c r="S59" s="78">
        <f t="shared" si="9"/>
        <v>0</v>
      </c>
      <c r="T59" s="78">
        <f t="shared" si="10"/>
        <v>0</v>
      </c>
      <c r="U59" s="78">
        <f t="shared" si="11"/>
        <v>0</v>
      </c>
      <c r="V59" s="79">
        <f t="shared" si="12"/>
        <v>0</v>
      </c>
    </row>
    <row r="60" spans="1:33" x14ac:dyDescent="0.35">
      <c r="B60" s="71">
        <f t="shared" si="1"/>
        <v>0</v>
      </c>
      <c r="C60" s="72"/>
      <c r="D60" s="72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6"/>
      <c r="Q60" s="109"/>
      <c r="R60" s="88">
        <f t="shared" si="8"/>
        <v>0</v>
      </c>
      <c r="S60" s="78">
        <f t="shared" si="9"/>
        <v>0</v>
      </c>
      <c r="T60" s="78">
        <f t="shared" si="10"/>
        <v>0</v>
      </c>
      <c r="U60" s="78">
        <f t="shared" si="11"/>
        <v>0</v>
      </c>
      <c r="V60" s="79">
        <f t="shared" si="12"/>
        <v>0</v>
      </c>
    </row>
    <row r="61" spans="1:33" x14ac:dyDescent="0.35">
      <c r="B61" s="71">
        <f t="shared" si="1"/>
        <v>0</v>
      </c>
      <c r="C61" s="72"/>
      <c r="D61" s="72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6"/>
      <c r="Q61" s="87"/>
      <c r="R61" s="88">
        <f t="shared" si="8"/>
        <v>0</v>
      </c>
      <c r="S61" s="78">
        <f t="shared" si="9"/>
        <v>0</v>
      </c>
      <c r="T61" s="78">
        <f t="shared" si="10"/>
        <v>0</v>
      </c>
      <c r="U61" s="78">
        <f t="shared" si="11"/>
        <v>0</v>
      </c>
      <c r="V61" s="79">
        <f t="shared" si="12"/>
        <v>0</v>
      </c>
    </row>
    <row r="62" spans="1:33" x14ac:dyDescent="0.35">
      <c r="B62" s="71">
        <f t="shared" si="1"/>
        <v>0</v>
      </c>
      <c r="C62" s="72"/>
      <c r="D62" s="72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6"/>
      <c r="Q62" s="109"/>
      <c r="R62" s="88">
        <f t="shared" si="8"/>
        <v>0</v>
      </c>
      <c r="S62" s="78">
        <f t="shared" si="9"/>
        <v>0</v>
      </c>
      <c r="T62" s="78">
        <f t="shared" si="10"/>
        <v>0</v>
      </c>
      <c r="U62" s="78">
        <f t="shared" si="11"/>
        <v>0</v>
      </c>
      <c r="V62" s="79">
        <f t="shared" si="12"/>
        <v>0</v>
      </c>
    </row>
    <row r="63" spans="1:33" x14ac:dyDescent="0.35">
      <c r="A63" s="98"/>
      <c r="B63" s="71">
        <f t="shared" si="1"/>
        <v>0</v>
      </c>
      <c r="C63" s="72"/>
      <c r="D63" s="72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6"/>
      <c r="Q63" s="87"/>
      <c r="R63" s="88">
        <f t="shared" si="8"/>
        <v>0</v>
      </c>
      <c r="S63" s="78">
        <f t="shared" si="9"/>
        <v>0</v>
      </c>
      <c r="T63" s="78">
        <f t="shared" si="10"/>
        <v>0</v>
      </c>
      <c r="U63" s="78">
        <f t="shared" si="11"/>
        <v>0</v>
      </c>
      <c r="V63" s="79">
        <f t="shared" si="12"/>
        <v>0</v>
      </c>
    </row>
    <row r="64" spans="1:33" x14ac:dyDescent="0.35">
      <c r="B64" s="71">
        <f t="shared" si="1"/>
        <v>0</v>
      </c>
      <c r="C64" s="72"/>
      <c r="D64" s="72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6"/>
      <c r="Q64" s="109"/>
      <c r="R64" s="88">
        <f t="shared" si="8"/>
        <v>0</v>
      </c>
      <c r="S64" s="78">
        <f t="shared" si="9"/>
        <v>0</v>
      </c>
      <c r="T64" s="78">
        <f t="shared" si="10"/>
        <v>0</v>
      </c>
      <c r="U64" s="78">
        <f t="shared" si="11"/>
        <v>0</v>
      </c>
      <c r="V64" s="79">
        <f t="shared" si="12"/>
        <v>0</v>
      </c>
    </row>
    <row r="65" spans="1:26" x14ac:dyDescent="0.35">
      <c r="B65" s="71">
        <f t="shared" si="1"/>
        <v>0</v>
      </c>
      <c r="C65" s="72"/>
      <c r="D65" s="72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6"/>
      <c r="Q65" s="87"/>
      <c r="R65" s="88">
        <f t="shared" si="8"/>
        <v>0</v>
      </c>
      <c r="S65" s="78">
        <f t="shared" si="9"/>
        <v>0</v>
      </c>
      <c r="T65" s="78">
        <f t="shared" si="10"/>
        <v>0</v>
      </c>
      <c r="U65" s="78">
        <f t="shared" si="11"/>
        <v>0</v>
      </c>
      <c r="V65" s="79">
        <f t="shared" si="12"/>
        <v>0</v>
      </c>
      <c r="Z65" s="135"/>
    </row>
    <row r="66" spans="1:26" x14ac:dyDescent="0.35">
      <c r="B66" s="71">
        <f t="shared" si="1"/>
        <v>0</v>
      </c>
      <c r="C66" s="72"/>
      <c r="D66" s="72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6"/>
      <c r="Q66" s="99"/>
      <c r="R66" s="88">
        <f t="shared" si="8"/>
        <v>0</v>
      </c>
      <c r="S66" s="78">
        <f t="shared" si="9"/>
        <v>0</v>
      </c>
      <c r="T66" s="78">
        <f t="shared" si="10"/>
        <v>0</v>
      </c>
      <c r="U66" s="78">
        <f t="shared" si="11"/>
        <v>0</v>
      </c>
      <c r="V66" s="79">
        <f t="shared" si="12"/>
        <v>0</v>
      </c>
    </row>
    <row r="67" spans="1:26" x14ac:dyDescent="0.35">
      <c r="B67" s="71">
        <f t="shared" si="1"/>
        <v>0</v>
      </c>
      <c r="C67" s="72"/>
      <c r="D67" s="72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6"/>
      <c r="Q67" s="99"/>
      <c r="R67" s="88">
        <f t="shared" si="8"/>
        <v>0</v>
      </c>
      <c r="S67" s="78">
        <f t="shared" si="9"/>
        <v>0</v>
      </c>
      <c r="T67" s="78">
        <f t="shared" si="10"/>
        <v>0</v>
      </c>
      <c r="U67" s="78">
        <f t="shared" si="11"/>
        <v>0</v>
      </c>
      <c r="V67" s="79">
        <f t="shared" si="12"/>
        <v>0</v>
      </c>
    </row>
    <row r="68" spans="1:26" x14ac:dyDescent="0.35">
      <c r="B68" s="71">
        <f t="shared" si="1"/>
        <v>0</v>
      </c>
      <c r="C68" s="72"/>
      <c r="D68" s="72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6"/>
      <c r="Q68" s="99"/>
      <c r="R68" s="88">
        <f t="shared" si="8"/>
        <v>0</v>
      </c>
      <c r="S68" s="78">
        <f t="shared" si="9"/>
        <v>0</v>
      </c>
      <c r="T68" s="78">
        <f t="shared" si="10"/>
        <v>0</v>
      </c>
      <c r="U68" s="78">
        <f t="shared" si="11"/>
        <v>0</v>
      </c>
      <c r="V68" s="79">
        <f t="shared" si="12"/>
        <v>0</v>
      </c>
    </row>
    <row r="69" spans="1:26" x14ac:dyDescent="0.35">
      <c r="B69" s="71">
        <f t="shared" si="1"/>
        <v>0</v>
      </c>
      <c r="C69" s="72"/>
      <c r="D69" s="72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6"/>
      <c r="Q69" s="130"/>
      <c r="R69" s="88">
        <f t="shared" si="8"/>
        <v>0</v>
      </c>
      <c r="S69" s="78">
        <f t="shared" si="9"/>
        <v>0</v>
      </c>
      <c r="T69" s="78">
        <f t="shared" si="10"/>
        <v>0</v>
      </c>
      <c r="U69" s="78">
        <f t="shared" si="11"/>
        <v>0</v>
      </c>
      <c r="V69" s="79">
        <f t="shared" si="12"/>
        <v>0</v>
      </c>
    </row>
    <row r="70" spans="1:26" x14ac:dyDescent="0.35">
      <c r="B70" s="71">
        <f t="shared" si="1"/>
        <v>0</v>
      </c>
      <c r="C70" s="72"/>
      <c r="D70" s="72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6"/>
      <c r="Q70" s="87"/>
      <c r="R70" s="88">
        <f t="shared" si="8"/>
        <v>0</v>
      </c>
      <c r="S70" s="78">
        <f t="shared" si="9"/>
        <v>0</v>
      </c>
      <c r="T70" s="78">
        <f t="shared" si="10"/>
        <v>0</v>
      </c>
      <c r="U70" s="78">
        <f t="shared" si="11"/>
        <v>0</v>
      </c>
      <c r="V70" s="79">
        <f t="shared" si="12"/>
        <v>0</v>
      </c>
    </row>
    <row r="71" spans="1:26" x14ac:dyDescent="0.35">
      <c r="A71" s="106"/>
      <c r="B71" s="71">
        <f t="shared" si="1"/>
        <v>0</v>
      </c>
      <c r="C71" s="72"/>
      <c r="D71" s="72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6"/>
      <c r="Q71" s="99"/>
      <c r="R71" s="88">
        <f t="shared" si="8"/>
        <v>0</v>
      </c>
      <c r="S71" s="78">
        <f t="shared" si="9"/>
        <v>0</v>
      </c>
      <c r="T71" s="78">
        <f t="shared" si="10"/>
        <v>0</v>
      </c>
      <c r="U71" s="78">
        <f t="shared" si="11"/>
        <v>0</v>
      </c>
      <c r="V71" s="79">
        <f t="shared" si="12"/>
        <v>0</v>
      </c>
    </row>
    <row r="72" spans="1:26" x14ac:dyDescent="0.35">
      <c r="B72" s="71">
        <f t="shared" si="1"/>
        <v>0</v>
      </c>
      <c r="C72" s="72"/>
      <c r="D72" s="72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6"/>
      <c r="Q72" s="101"/>
      <c r="R72" s="88">
        <f t="shared" si="8"/>
        <v>0</v>
      </c>
      <c r="S72" s="78">
        <f t="shared" si="9"/>
        <v>0</v>
      </c>
      <c r="T72" s="78">
        <f t="shared" si="10"/>
        <v>0</v>
      </c>
      <c r="U72" s="78">
        <f t="shared" si="11"/>
        <v>0</v>
      </c>
      <c r="V72" s="79">
        <f t="shared" si="12"/>
        <v>0</v>
      </c>
    </row>
    <row r="73" spans="1:26" x14ac:dyDescent="0.35">
      <c r="A73" s="98"/>
      <c r="B73" s="71">
        <f t="shared" ref="B73:B136" si="22">SUM(E73:P73)</f>
        <v>0</v>
      </c>
      <c r="C73" s="72"/>
      <c r="D73" s="72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6"/>
      <c r="Q73" s="109"/>
      <c r="R73" s="88">
        <f t="shared" si="8"/>
        <v>0</v>
      </c>
      <c r="S73" s="78">
        <f t="shared" si="9"/>
        <v>0</v>
      </c>
      <c r="T73" s="78">
        <f t="shared" si="10"/>
        <v>0</v>
      </c>
      <c r="U73" s="78">
        <f t="shared" si="11"/>
        <v>0</v>
      </c>
      <c r="V73" s="79">
        <f t="shared" si="12"/>
        <v>0</v>
      </c>
    </row>
    <row r="74" spans="1:26" x14ac:dyDescent="0.35">
      <c r="A74" s="98"/>
      <c r="B74" s="71">
        <f t="shared" si="22"/>
        <v>0</v>
      </c>
      <c r="C74" s="72"/>
      <c r="D74" s="72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6"/>
      <c r="Q74" s="87"/>
      <c r="R74" s="88">
        <f t="shared" si="8"/>
        <v>0</v>
      </c>
      <c r="S74" s="78">
        <f t="shared" si="9"/>
        <v>0</v>
      </c>
      <c r="T74" s="78">
        <f t="shared" si="10"/>
        <v>0</v>
      </c>
      <c r="U74" s="78">
        <f t="shared" si="11"/>
        <v>0</v>
      </c>
      <c r="V74" s="79">
        <f t="shared" si="12"/>
        <v>0</v>
      </c>
    </row>
    <row r="75" spans="1:26" x14ac:dyDescent="0.35">
      <c r="A75" s="98"/>
      <c r="B75" s="71">
        <f t="shared" si="22"/>
        <v>0</v>
      </c>
      <c r="C75" s="72"/>
      <c r="D75" s="72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6"/>
      <c r="Q75" s="99"/>
      <c r="R75" s="88">
        <f t="shared" ref="R75:R138" si="23">SUM(E75:P75)</f>
        <v>0</v>
      </c>
      <c r="S75" s="78">
        <f t="shared" ref="S75:S138" si="24">SUM(H75:P75)/9*12</f>
        <v>0</v>
      </c>
      <c r="T75" s="78">
        <f t="shared" ref="T75:T138" si="25">SUM(K75:P75)*2</f>
        <v>0</v>
      </c>
      <c r="U75" s="78">
        <f t="shared" ref="U75:U138" si="26">SUM(N75:P75)*4</f>
        <v>0</v>
      </c>
      <c r="V75" s="79">
        <f t="shared" ref="V75:V138" si="27">SUM(P75)*12</f>
        <v>0</v>
      </c>
    </row>
    <row r="76" spans="1:26" x14ac:dyDescent="0.35">
      <c r="B76" s="71">
        <f t="shared" si="22"/>
        <v>0</v>
      </c>
      <c r="C76" s="72"/>
      <c r="D76" s="72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6"/>
      <c r="Q76" s="99"/>
      <c r="R76" s="88">
        <f t="shared" si="23"/>
        <v>0</v>
      </c>
      <c r="S76" s="78">
        <f t="shared" si="24"/>
        <v>0</v>
      </c>
      <c r="T76" s="78">
        <f t="shared" si="25"/>
        <v>0</v>
      </c>
      <c r="U76" s="78">
        <f t="shared" si="26"/>
        <v>0</v>
      </c>
      <c r="V76" s="79">
        <f t="shared" si="27"/>
        <v>0</v>
      </c>
    </row>
    <row r="77" spans="1:26" x14ac:dyDescent="0.35">
      <c r="B77" s="71">
        <f t="shared" si="22"/>
        <v>0</v>
      </c>
      <c r="C77" s="72"/>
      <c r="D77" s="72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6"/>
      <c r="Q77" s="101"/>
      <c r="R77" s="88">
        <f t="shared" si="23"/>
        <v>0</v>
      </c>
      <c r="S77" s="78">
        <f t="shared" si="24"/>
        <v>0</v>
      </c>
      <c r="T77" s="78">
        <f t="shared" si="25"/>
        <v>0</v>
      </c>
      <c r="U77" s="78">
        <f t="shared" si="26"/>
        <v>0</v>
      </c>
      <c r="V77" s="79">
        <f t="shared" si="27"/>
        <v>0</v>
      </c>
    </row>
    <row r="78" spans="1:26" x14ac:dyDescent="0.35">
      <c r="B78" s="71">
        <f t="shared" si="22"/>
        <v>0</v>
      </c>
      <c r="C78" s="72"/>
      <c r="D78" s="72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6"/>
      <c r="Q78" s="109"/>
      <c r="R78" s="88">
        <f t="shared" si="23"/>
        <v>0</v>
      </c>
      <c r="S78" s="78">
        <f t="shared" si="24"/>
        <v>0</v>
      </c>
      <c r="T78" s="78">
        <f t="shared" si="25"/>
        <v>0</v>
      </c>
      <c r="U78" s="78">
        <f t="shared" si="26"/>
        <v>0</v>
      </c>
      <c r="V78" s="79">
        <f t="shared" si="27"/>
        <v>0</v>
      </c>
    </row>
    <row r="79" spans="1:26" x14ac:dyDescent="0.35">
      <c r="B79" s="71">
        <f t="shared" si="22"/>
        <v>0</v>
      </c>
      <c r="C79" s="72"/>
      <c r="D79" s="72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6"/>
      <c r="Q79" s="87"/>
      <c r="R79" s="88">
        <f t="shared" si="23"/>
        <v>0</v>
      </c>
      <c r="S79" s="78">
        <f t="shared" si="24"/>
        <v>0</v>
      </c>
      <c r="T79" s="78">
        <f t="shared" si="25"/>
        <v>0</v>
      </c>
      <c r="U79" s="78">
        <f t="shared" si="26"/>
        <v>0</v>
      </c>
      <c r="V79" s="79">
        <f t="shared" si="27"/>
        <v>0</v>
      </c>
    </row>
    <row r="80" spans="1:26" x14ac:dyDescent="0.35">
      <c r="B80" s="71">
        <f t="shared" si="22"/>
        <v>0</v>
      </c>
      <c r="C80" s="72"/>
      <c r="D80" s="72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6"/>
      <c r="Q80" s="99"/>
      <c r="R80" s="88">
        <f t="shared" si="23"/>
        <v>0</v>
      </c>
      <c r="S80" s="78">
        <f t="shared" si="24"/>
        <v>0</v>
      </c>
      <c r="T80" s="78">
        <f t="shared" si="25"/>
        <v>0</v>
      </c>
      <c r="U80" s="78">
        <f t="shared" si="26"/>
        <v>0</v>
      </c>
      <c r="V80" s="79">
        <f t="shared" si="27"/>
        <v>0</v>
      </c>
    </row>
    <row r="81" spans="1:22" x14ac:dyDescent="0.35">
      <c r="B81" s="71">
        <f t="shared" si="22"/>
        <v>0</v>
      </c>
      <c r="C81" s="72"/>
      <c r="D81" s="72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6"/>
      <c r="Q81" s="101"/>
      <c r="R81" s="88">
        <f t="shared" si="23"/>
        <v>0</v>
      </c>
      <c r="S81" s="78">
        <f t="shared" si="24"/>
        <v>0</v>
      </c>
      <c r="T81" s="78">
        <f t="shared" si="25"/>
        <v>0</v>
      </c>
      <c r="U81" s="78">
        <f t="shared" si="26"/>
        <v>0</v>
      </c>
      <c r="V81" s="79">
        <f t="shared" si="27"/>
        <v>0</v>
      </c>
    </row>
    <row r="82" spans="1:22" x14ac:dyDescent="0.35">
      <c r="B82" s="71">
        <f t="shared" si="22"/>
        <v>0</v>
      </c>
      <c r="C82" s="72"/>
      <c r="D82" s="72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6"/>
      <c r="Q82" s="109"/>
      <c r="R82" s="88">
        <f t="shared" si="23"/>
        <v>0</v>
      </c>
      <c r="S82" s="78">
        <f t="shared" si="24"/>
        <v>0</v>
      </c>
      <c r="T82" s="78">
        <f t="shared" si="25"/>
        <v>0</v>
      </c>
      <c r="U82" s="78">
        <f t="shared" si="26"/>
        <v>0</v>
      </c>
      <c r="V82" s="79">
        <f t="shared" si="27"/>
        <v>0</v>
      </c>
    </row>
    <row r="83" spans="1:22" x14ac:dyDescent="0.35">
      <c r="A83" s="108"/>
      <c r="B83" s="71">
        <f t="shared" si="22"/>
        <v>0</v>
      </c>
      <c r="C83" s="72"/>
      <c r="D83" s="72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6"/>
      <c r="Q83" s="87"/>
      <c r="R83" s="88">
        <f t="shared" si="23"/>
        <v>0</v>
      </c>
      <c r="S83" s="78">
        <f t="shared" si="24"/>
        <v>0</v>
      </c>
      <c r="T83" s="78">
        <f t="shared" si="25"/>
        <v>0</v>
      </c>
      <c r="U83" s="78">
        <f t="shared" si="26"/>
        <v>0</v>
      </c>
      <c r="V83" s="79">
        <f t="shared" si="27"/>
        <v>0</v>
      </c>
    </row>
    <row r="84" spans="1:22" x14ac:dyDescent="0.35">
      <c r="A84" s="108"/>
      <c r="B84" s="71">
        <f t="shared" si="22"/>
        <v>0</v>
      </c>
      <c r="C84" s="72"/>
      <c r="D84" s="72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6"/>
      <c r="Q84" s="130"/>
      <c r="R84" s="88">
        <f t="shared" si="23"/>
        <v>0</v>
      </c>
      <c r="S84" s="78">
        <f t="shared" si="24"/>
        <v>0</v>
      </c>
      <c r="T84" s="78">
        <f t="shared" si="25"/>
        <v>0</v>
      </c>
      <c r="U84" s="78">
        <f t="shared" si="26"/>
        <v>0</v>
      </c>
      <c r="V84" s="79">
        <f t="shared" si="27"/>
        <v>0</v>
      </c>
    </row>
    <row r="85" spans="1:22" ht="15.5" x14ac:dyDescent="0.35">
      <c r="A85" s="136"/>
      <c r="B85" s="71">
        <f t="shared" si="22"/>
        <v>0</v>
      </c>
      <c r="C85" s="72"/>
      <c r="D85" s="137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6"/>
      <c r="Q85" s="130"/>
      <c r="R85" s="88">
        <f t="shared" si="23"/>
        <v>0</v>
      </c>
      <c r="S85" s="78">
        <f t="shared" si="24"/>
        <v>0</v>
      </c>
      <c r="T85" s="78">
        <f t="shared" si="25"/>
        <v>0</v>
      </c>
      <c r="U85" s="78">
        <f t="shared" si="26"/>
        <v>0</v>
      </c>
      <c r="V85" s="79">
        <f t="shared" si="27"/>
        <v>0</v>
      </c>
    </row>
    <row r="86" spans="1:22" x14ac:dyDescent="0.35">
      <c r="A86" s="108"/>
      <c r="B86" s="71">
        <f t="shared" si="22"/>
        <v>0</v>
      </c>
      <c r="C86" s="72"/>
      <c r="D86" s="72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6"/>
      <c r="Q86" s="99"/>
      <c r="R86" s="88">
        <f t="shared" si="23"/>
        <v>0</v>
      </c>
      <c r="S86" s="78">
        <f t="shared" si="24"/>
        <v>0</v>
      </c>
      <c r="T86" s="78">
        <f t="shared" si="25"/>
        <v>0</v>
      </c>
      <c r="U86" s="78">
        <f t="shared" si="26"/>
        <v>0</v>
      </c>
      <c r="V86" s="79">
        <f t="shared" si="27"/>
        <v>0</v>
      </c>
    </row>
    <row r="87" spans="1:22" x14ac:dyDescent="0.35">
      <c r="A87" s="138"/>
      <c r="B87" s="71">
        <f t="shared" si="22"/>
        <v>0</v>
      </c>
      <c r="C87" s="72"/>
      <c r="D87" s="72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6"/>
      <c r="Q87" s="99"/>
      <c r="R87" s="88">
        <f t="shared" si="23"/>
        <v>0</v>
      </c>
      <c r="S87" s="78">
        <f t="shared" si="24"/>
        <v>0</v>
      </c>
      <c r="T87" s="78">
        <f t="shared" si="25"/>
        <v>0</v>
      </c>
      <c r="U87" s="78">
        <f t="shared" si="26"/>
        <v>0</v>
      </c>
      <c r="V87" s="79">
        <f t="shared" si="27"/>
        <v>0</v>
      </c>
    </row>
    <row r="88" spans="1:22" x14ac:dyDescent="0.35">
      <c r="A88" s="139"/>
      <c r="B88" s="71">
        <f t="shared" si="22"/>
        <v>0</v>
      </c>
      <c r="C88" s="72"/>
      <c r="D88" s="72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6"/>
      <c r="Q88" s="101"/>
      <c r="R88" s="88">
        <f t="shared" si="23"/>
        <v>0</v>
      </c>
      <c r="S88" s="78">
        <f t="shared" si="24"/>
        <v>0</v>
      </c>
      <c r="T88" s="78">
        <f t="shared" si="25"/>
        <v>0</v>
      </c>
      <c r="U88" s="78">
        <f t="shared" si="26"/>
        <v>0</v>
      </c>
      <c r="V88" s="79">
        <f t="shared" si="27"/>
        <v>0</v>
      </c>
    </row>
    <row r="89" spans="1:22" x14ac:dyDescent="0.35">
      <c r="A89" s="108"/>
      <c r="B89" s="71">
        <f t="shared" si="22"/>
        <v>0</v>
      </c>
      <c r="C89" s="72"/>
      <c r="D89" s="72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6"/>
      <c r="Q89" s="109"/>
      <c r="R89" s="88">
        <f t="shared" si="23"/>
        <v>0</v>
      </c>
      <c r="S89" s="78">
        <f t="shared" si="24"/>
        <v>0</v>
      </c>
      <c r="T89" s="78">
        <f t="shared" si="25"/>
        <v>0</v>
      </c>
      <c r="U89" s="78">
        <f t="shared" si="26"/>
        <v>0</v>
      </c>
      <c r="V89" s="79">
        <f t="shared" si="27"/>
        <v>0</v>
      </c>
    </row>
    <row r="90" spans="1:22" x14ac:dyDescent="0.35">
      <c r="B90" s="71">
        <f t="shared" si="22"/>
        <v>0</v>
      </c>
      <c r="C90" s="72"/>
      <c r="D90" s="72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6"/>
      <c r="Q90" s="87"/>
      <c r="R90" s="88">
        <f t="shared" si="23"/>
        <v>0</v>
      </c>
      <c r="S90" s="78">
        <f t="shared" si="24"/>
        <v>0</v>
      </c>
      <c r="T90" s="78">
        <f t="shared" si="25"/>
        <v>0</v>
      </c>
      <c r="U90" s="78">
        <f t="shared" si="26"/>
        <v>0</v>
      </c>
      <c r="V90" s="79">
        <f t="shared" si="27"/>
        <v>0</v>
      </c>
    </row>
    <row r="91" spans="1:22" x14ac:dyDescent="0.35">
      <c r="B91" s="71">
        <f t="shared" si="22"/>
        <v>0</v>
      </c>
      <c r="C91" s="72"/>
      <c r="D91" s="72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6"/>
      <c r="Q91" s="99"/>
      <c r="R91" s="88">
        <f t="shared" si="23"/>
        <v>0</v>
      </c>
      <c r="S91" s="78">
        <f t="shared" si="24"/>
        <v>0</v>
      </c>
      <c r="T91" s="78">
        <f t="shared" si="25"/>
        <v>0</v>
      </c>
      <c r="U91" s="78">
        <f t="shared" si="26"/>
        <v>0</v>
      </c>
      <c r="V91" s="79">
        <f t="shared" si="27"/>
        <v>0</v>
      </c>
    </row>
    <row r="92" spans="1:22" x14ac:dyDescent="0.35">
      <c r="B92" s="71">
        <f t="shared" si="22"/>
        <v>0</v>
      </c>
      <c r="C92" s="72"/>
      <c r="D92" s="72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6"/>
      <c r="Q92" s="99"/>
      <c r="R92" s="88">
        <f t="shared" si="23"/>
        <v>0</v>
      </c>
      <c r="S92" s="78">
        <f t="shared" si="24"/>
        <v>0</v>
      </c>
      <c r="T92" s="78">
        <f t="shared" si="25"/>
        <v>0</v>
      </c>
      <c r="U92" s="78">
        <f t="shared" si="26"/>
        <v>0</v>
      </c>
      <c r="V92" s="79">
        <f t="shared" si="27"/>
        <v>0</v>
      </c>
    </row>
    <row r="93" spans="1:22" x14ac:dyDescent="0.35">
      <c r="B93" s="71">
        <f t="shared" si="22"/>
        <v>0</v>
      </c>
      <c r="C93" s="72"/>
      <c r="D93" s="72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6"/>
      <c r="Q93" s="99"/>
      <c r="R93" s="88">
        <f t="shared" si="23"/>
        <v>0</v>
      </c>
      <c r="S93" s="78">
        <f t="shared" si="24"/>
        <v>0</v>
      </c>
      <c r="T93" s="78">
        <f t="shared" si="25"/>
        <v>0</v>
      </c>
      <c r="U93" s="78">
        <f t="shared" si="26"/>
        <v>0</v>
      </c>
      <c r="V93" s="79">
        <f t="shared" si="27"/>
        <v>0</v>
      </c>
    </row>
    <row r="94" spans="1:22" x14ac:dyDescent="0.35">
      <c r="B94" s="71">
        <f t="shared" si="22"/>
        <v>0</v>
      </c>
      <c r="C94" s="72"/>
      <c r="D94" s="140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6"/>
      <c r="Q94" s="99"/>
      <c r="R94" s="88">
        <f t="shared" si="23"/>
        <v>0</v>
      </c>
      <c r="S94" s="78">
        <f t="shared" si="24"/>
        <v>0</v>
      </c>
      <c r="T94" s="78">
        <f t="shared" si="25"/>
        <v>0</v>
      </c>
      <c r="U94" s="78">
        <f t="shared" si="26"/>
        <v>0</v>
      </c>
      <c r="V94" s="79">
        <f t="shared" si="27"/>
        <v>0</v>
      </c>
    </row>
    <row r="95" spans="1:22" x14ac:dyDescent="0.35">
      <c r="B95" s="71">
        <f t="shared" si="22"/>
        <v>0</v>
      </c>
      <c r="C95" s="72"/>
      <c r="D95" s="140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41"/>
      <c r="Q95" s="101"/>
      <c r="R95" s="88">
        <f t="shared" si="23"/>
        <v>0</v>
      </c>
      <c r="S95" s="78">
        <f t="shared" si="24"/>
        <v>0</v>
      </c>
      <c r="T95" s="78">
        <f t="shared" si="25"/>
        <v>0</v>
      </c>
      <c r="U95" s="78">
        <f t="shared" si="26"/>
        <v>0</v>
      </c>
      <c r="V95" s="79">
        <f t="shared" si="27"/>
        <v>0</v>
      </c>
    </row>
    <row r="96" spans="1:22" x14ac:dyDescent="0.35">
      <c r="B96" s="71">
        <f t="shared" si="22"/>
        <v>0</v>
      </c>
      <c r="C96" s="72"/>
      <c r="D96" s="140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41"/>
      <c r="Q96" s="109"/>
      <c r="R96" s="88">
        <f t="shared" si="23"/>
        <v>0</v>
      </c>
      <c r="S96" s="78">
        <f t="shared" si="24"/>
        <v>0</v>
      </c>
      <c r="T96" s="78">
        <f t="shared" si="25"/>
        <v>0</v>
      </c>
      <c r="U96" s="78">
        <f t="shared" si="26"/>
        <v>0</v>
      </c>
      <c r="V96" s="79">
        <f t="shared" si="27"/>
        <v>0</v>
      </c>
    </row>
    <row r="97" spans="1:22" x14ac:dyDescent="0.35">
      <c r="A97" s="139"/>
      <c r="B97" s="71">
        <f t="shared" si="22"/>
        <v>0</v>
      </c>
      <c r="C97" s="72"/>
      <c r="D97" s="140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41"/>
      <c r="Q97" s="87"/>
      <c r="R97" s="88">
        <f t="shared" si="23"/>
        <v>0</v>
      </c>
      <c r="S97" s="78">
        <f t="shared" si="24"/>
        <v>0</v>
      </c>
      <c r="T97" s="78">
        <f t="shared" si="25"/>
        <v>0</v>
      </c>
      <c r="U97" s="78">
        <f t="shared" si="26"/>
        <v>0</v>
      </c>
      <c r="V97" s="79">
        <f t="shared" si="27"/>
        <v>0</v>
      </c>
    </row>
    <row r="98" spans="1:22" x14ac:dyDescent="0.35">
      <c r="A98" s="98"/>
      <c r="B98" s="71">
        <f t="shared" si="22"/>
        <v>0</v>
      </c>
      <c r="C98" s="72"/>
      <c r="D98" s="140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41"/>
      <c r="Q98" s="99"/>
      <c r="R98" s="88">
        <f t="shared" si="23"/>
        <v>0</v>
      </c>
      <c r="S98" s="78">
        <f t="shared" si="24"/>
        <v>0</v>
      </c>
      <c r="T98" s="78">
        <f t="shared" si="25"/>
        <v>0</v>
      </c>
      <c r="U98" s="78">
        <f t="shared" si="26"/>
        <v>0</v>
      </c>
      <c r="V98" s="79">
        <f t="shared" si="27"/>
        <v>0</v>
      </c>
    </row>
    <row r="99" spans="1:22" x14ac:dyDescent="0.35">
      <c r="B99" s="71">
        <f t="shared" si="22"/>
        <v>0</v>
      </c>
      <c r="C99" s="72"/>
      <c r="D99" s="140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41"/>
      <c r="Q99" s="99"/>
      <c r="R99" s="88">
        <f t="shared" si="23"/>
        <v>0</v>
      </c>
      <c r="S99" s="78">
        <f t="shared" si="24"/>
        <v>0</v>
      </c>
      <c r="T99" s="78">
        <f t="shared" si="25"/>
        <v>0</v>
      </c>
      <c r="U99" s="78">
        <f t="shared" si="26"/>
        <v>0</v>
      </c>
      <c r="V99" s="79">
        <f t="shared" si="27"/>
        <v>0</v>
      </c>
    </row>
    <row r="100" spans="1:22" x14ac:dyDescent="0.35">
      <c r="B100" s="71">
        <f t="shared" si="22"/>
        <v>0</v>
      </c>
      <c r="C100" s="72"/>
      <c r="D100" s="140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41"/>
      <c r="Q100" s="99"/>
      <c r="R100" s="88">
        <f t="shared" si="23"/>
        <v>0</v>
      </c>
      <c r="S100" s="78">
        <f t="shared" si="24"/>
        <v>0</v>
      </c>
      <c r="T100" s="78">
        <f t="shared" si="25"/>
        <v>0</v>
      </c>
      <c r="U100" s="78">
        <f t="shared" si="26"/>
        <v>0</v>
      </c>
      <c r="V100" s="79">
        <f t="shared" si="27"/>
        <v>0</v>
      </c>
    </row>
    <row r="101" spans="1:22" x14ac:dyDescent="0.35">
      <c r="B101" s="71">
        <f t="shared" si="22"/>
        <v>0</v>
      </c>
      <c r="C101" s="72"/>
      <c r="D101" s="140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41"/>
      <c r="Q101" s="130"/>
      <c r="R101" s="88">
        <f t="shared" si="23"/>
        <v>0</v>
      </c>
      <c r="S101" s="78">
        <f t="shared" si="24"/>
        <v>0</v>
      </c>
      <c r="T101" s="78">
        <f t="shared" si="25"/>
        <v>0</v>
      </c>
      <c r="U101" s="78">
        <f t="shared" si="26"/>
        <v>0</v>
      </c>
      <c r="V101" s="79">
        <f t="shared" si="27"/>
        <v>0</v>
      </c>
    </row>
    <row r="102" spans="1:22" x14ac:dyDescent="0.35">
      <c r="B102" s="71">
        <f t="shared" si="22"/>
        <v>0</v>
      </c>
      <c r="C102" s="72"/>
      <c r="D102" s="140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41"/>
      <c r="Q102" s="130"/>
      <c r="R102" s="88">
        <f t="shared" si="23"/>
        <v>0</v>
      </c>
      <c r="S102" s="78">
        <f t="shared" si="24"/>
        <v>0</v>
      </c>
      <c r="T102" s="78">
        <f t="shared" si="25"/>
        <v>0</v>
      </c>
      <c r="U102" s="78">
        <f t="shared" si="26"/>
        <v>0</v>
      </c>
      <c r="V102" s="79">
        <f t="shared" si="27"/>
        <v>0</v>
      </c>
    </row>
    <row r="103" spans="1:22" x14ac:dyDescent="0.35">
      <c r="B103" s="71">
        <f t="shared" si="22"/>
        <v>0</v>
      </c>
      <c r="C103" s="72"/>
      <c r="D103" s="140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41"/>
      <c r="Q103" s="109"/>
      <c r="R103" s="88">
        <f t="shared" si="23"/>
        <v>0</v>
      </c>
      <c r="S103" s="78">
        <f t="shared" si="24"/>
        <v>0</v>
      </c>
      <c r="T103" s="78">
        <f t="shared" si="25"/>
        <v>0</v>
      </c>
      <c r="U103" s="78">
        <f t="shared" si="26"/>
        <v>0</v>
      </c>
      <c r="V103" s="79">
        <f t="shared" si="27"/>
        <v>0</v>
      </c>
    </row>
    <row r="104" spans="1:22" x14ac:dyDescent="0.35">
      <c r="B104" s="71">
        <f t="shared" si="22"/>
        <v>0</v>
      </c>
      <c r="C104" s="72"/>
      <c r="D104" s="140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41"/>
      <c r="Q104" s="87"/>
      <c r="R104" s="88">
        <f t="shared" si="23"/>
        <v>0</v>
      </c>
      <c r="S104" s="78">
        <f t="shared" si="24"/>
        <v>0</v>
      </c>
      <c r="T104" s="78">
        <f t="shared" si="25"/>
        <v>0</v>
      </c>
      <c r="U104" s="78">
        <f t="shared" si="26"/>
        <v>0</v>
      </c>
      <c r="V104" s="79">
        <f t="shared" si="27"/>
        <v>0</v>
      </c>
    </row>
    <row r="105" spans="1:22" x14ac:dyDescent="0.35">
      <c r="B105" s="71">
        <f t="shared" si="22"/>
        <v>0</v>
      </c>
      <c r="C105" s="72"/>
      <c r="D105" s="140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41"/>
      <c r="Q105" s="99"/>
      <c r="R105" s="88">
        <f t="shared" si="23"/>
        <v>0</v>
      </c>
      <c r="S105" s="78">
        <f t="shared" si="24"/>
        <v>0</v>
      </c>
      <c r="T105" s="78">
        <f t="shared" si="25"/>
        <v>0</v>
      </c>
      <c r="U105" s="78">
        <f t="shared" si="26"/>
        <v>0</v>
      </c>
      <c r="V105" s="79">
        <f t="shared" si="27"/>
        <v>0</v>
      </c>
    </row>
    <row r="106" spans="1:22" x14ac:dyDescent="0.35">
      <c r="B106" s="71">
        <f t="shared" si="22"/>
        <v>0</v>
      </c>
      <c r="C106" s="72"/>
      <c r="D106" s="140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41"/>
      <c r="Q106" s="99"/>
      <c r="R106" s="88">
        <f t="shared" si="23"/>
        <v>0</v>
      </c>
      <c r="S106" s="78">
        <f t="shared" si="24"/>
        <v>0</v>
      </c>
      <c r="T106" s="78">
        <f t="shared" si="25"/>
        <v>0</v>
      </c>
      <c r="U106" s="78">
        <f t="shared" si="26"/>
        <v>0</v>
      </c>
      <c r="V106" s="79">
        <f t="shared" si="27"/>
        <v>0</v>
      </c>
    </row>
    <row r="107" spans="1:22" x14ac:dyDescent="0.35">
      <c r="B107" s="71">
        <f t="shared" si="22"/>
        <v>0</v>
      </c>
      <c r="C107" s="72"/>
      <c r="D107" s="140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41"/>
      <c r="Q107" s="99"/>
      <c r="R107" s="88">
        <f t="shared" si="23"/>
        <v>0</v>
      </c>
      <c r="S107" s="78">
        <f t="shared" si="24"/>
        <v>0</v>
      </c>
      <c r="T107" s="78">
        <f t="shared" si="25"/>
        <v>0</v>
      </c>
      <c r="U107" s="78">
        <f t="shared" si="26"/>
        <v>0</v>
      </c>
      <c r="V107" s="79">
        <f t="shared" si="27"/>
        <v>0</v>
      </c>
    </row>
    <row r="108" spans="1:22" x14ac:dyDescent="0.35">
      <c r="A108" s="110"/>
      <c r="B108" s="71">
        <f t="shared" si="22"/>
        <v>0</v>
      </c>
      <c r="C108" s="72"/>
      <c r="D108" s="140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41"/>
      <c r="Q108" s="99"/>
      <c r="R108" s="88">
        <f t="shared" si="23"/>
        <v>0</v>
      </c>
      <c r="S108" s="78">
        <f t="shared" si="24"/>
        <v>0</v>
      </c>
      <c r="T108" s="78">
        <f t="shared" si="25"/>
        <v>0</v>
      </c>
      <c r="U108" s="78">
        <f t="shared" si="26"/>
        <v>0</v>
      </c>
      <c r="V108" s="79">
        <f t="shared" si="27"/>
        <v>0</v>
      </c>
    </row>
    <row r="109" spans="1:22" x14ac:dyDescent="0.35">
      <c r="B109" s="71">
        <f t="shared" si="22"/>
        <v>0</v>
      </c>
      <c r="C109" s="72"/>
      <c r="D109" s="140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41"/>
      <c r="Q109" s="101"/>
      <c r="R109" s="88">
        <f t="shared" si="23"/>
        <v>0</v>
      </c>
      <c r="S109" s="78">
        <f t="shared" si="24"/>
        <v>0</v>
      </c>
      <c r="T109" s="78">
        <f t="shared" si="25"/>
        <v>0</v>
      </c>
      <c r="U109" s="78">
        <f t="shared" si="26"/>
        <v>0</v>
      </c>
      <c r="V109" s="79">
        <f t="shared" si="27"/>
        <v>0</v>
      </c>
    </row>
    <row r="110" spans="1:22" x14ac:dyDescent="0.35">
      <c r="B110" s="71">
        <f t="shared" si="22"/>
        <v>0</v>
      </c>
      <c r="C110" s="72"/>
      <c r="D110" s="140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41"/>
      <c r="Q110" s="109"/>
      <c r="R110" s="88">
        <f t="shared" si="23"/>
        <v>0</v>
      </c>
      <c r="S110" s="78">
        <f t="shared" si="24"/>
        <v>0</v>
      </c>
      <c r="T110" s="78">
        <f t="shared" si="25"/>
        <v>0</v>
      </c>
      <c r="U110" s="78">
        <f t="shared" si="26"/>
        <v>0</v>
      </c>
      <c r="V110" s="79">
        <f t="shared" si="27"/>
        <v>0</v>
      </c>
    </row>
    <row r="111" spans="1:22" x14ac:dyDescent="0.35">
      <c r="B111" s="71">
        <f t="shared" si="22"/>
        <v>0</v>
      </c>
      <c r="C111" s="72"/>
      <c r="D111" s="140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41"/>
      <c r="Q111" s="87"/>
      <c r="R111" s="88">
        <f t="shared" si="23"/>
        <v>0</v>
      </c>
      <c r="S111" s="78">
        <f t="shared" si="24"/>
        <v>0</v>
      </c>
      <c r="T111" s="78">
        <f t="shared" si="25"/>
        <v>0</v>
      </c>
      <c r="U111" s="78">
        <f t="shared" si="26"/>
        <v>0</v>
      </c>
      <c r="V111" s="79">
        <f t="shared" si="27"/>
        <v>0</v>
      </c>
    </row>
    <row r="112" spans="1:22" x14ac:dyDescent="0.35">
      <c r="B112" s="71">
        <f t="shared" si="22"/>
        <v>0</v>
      </c>
      <c r="C112" s="72"/>
      <c r="D112" s="140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41"/>
      <c r="Q112" s="99"/>
      <c r="R112" s="88">
        <f t="shared" si="23"/>
        <v>0</v>
      </c>
      <c r="S112" s="78">
        <f t="shared" si="24"/>
        <v>0</v>
      </c>
      <c r="T112" s="78">
        <f t="shared" si="25"/>
        <v>0</v>
      </c>
      <c r="U112" s="78">
        <f t="shared" si="26"/>
        <v>0</v>
      </c>
      <c r="V112" s="79">
        <f t="shared" si="27"/>
        <v>0</v>
      </c>
    </row>
    <row r="113" spans="1:33" x14ac:dyDescent="0.35">
      <c r="B113" s="71">
        <f t="shared" si="22"/>
        <v>0</v>
      </c>
      <c r="C113" s="72"/>
      <c r="D113" s="140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41"/>
      <c r="Q113" s="99"/>
      <c r="R113" s="88">
        <f t="shared" si="23"/>
        <v>0</v>
      </c>
      <c r="S113" s="78">
        <f t="shared" si="24"/>
        <v>0</v>
      </c>
      <c r="T113" s="78">
        <f t="shared" si="25"/>
        <v>0</v>
      </c>
      <c r="U113" s="78">
        <f t="shared" si="26"/>
        <v>0</v>
      </c>
      <c r="V113" s="79">
        <f t="shared" si="27"/>
        <v>0</v>
      </c>
    </row>
    <row r="114" spans="1:33" x14ac:dyDescent="0.35">
      <c r="B114" s="71">
        <f t="shared" si="22"/>
        <v>0</v>
      </c>
      <c r="C114" s="72"/>
      <c r="D114" s="140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41"/>
      <c r="Q114" s="99"/>
      <c r="R114" s="88">
        <f t="shared" si="23"/>
        <v>0</v>
      </c>
      <c r="S114" s="78">
        <f t="shared" si="24"/>
        <v>0</v>
      </c>
      <c r="T114" s="78">
        <f t="shared" si="25"/>
        <v>0</v>
      </c>
      <c r="U114" s="78">
        <f t="shared" si="26"/>
        <v>0</v>
      </c>
      <c r="V114" s="79">
        <f t="shared" si="27"/>
        <v>0</v>
      </c>
      <c r="W114" s="65"/>
      <c r="AE114" s="65"/>
      <c r="AF114" s="65"/>
      <c r="AG114" s="65"/>
    </row>
    <row r="115" spans="1:33" s="65" customFormat="1" x14ac:dyDescent="0.35">
      <c r="B115" s="71">
        <f t="shared" si="22"/>
        <v>0</v>
      </c>
      <c r="C115" s="72"/>
      <c r="D115" s="140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41"/>
      <c r="Q115" s="101"/>
      <c r="R115" s="88">
        <f t="shared" si="23"/>
        <v>0</v>
      </c>
      <c r="S115" s="78">
        <f t="shared" si="24"/>
        <v>0</v>
      </c>
      <c r="T115" s="78">
        <f t="shared" si="25"/>
        <v>0</v>
      </c>
      <c r="U115" s="78">
        <f t="shared" si="26"/>
        <v>0</v>
      </c>
      <c r="V115" s="79">
        <f t="shared" si="27"/>
        <v>0</v>
      </c>
      <c r="W115" s="63"/>
      <c r="Z115" s="142"/>
      <c r="AA115" s="142"/>
      <c r="AB115" s="142"/>
      <c r="AC115" s="142"/>
      <c r="AD115" s="142"/>
      <c r="AE115" s="63"/>
      <c r="AF115" s="63"/>
      <c r="AG115" s="63"/>
    </row>
    <row r="116" spans="1:33" x14ac:dyDescent="0.35">
      <c r="B116" s="71">
        <f t="shared" si="22"/>
        <v>0</v>
      </c>
      <c r="C116" s="72"/>
      <c r="D116" s="140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41"/>
      <c r="Q116" s="101"/>
      <c r="R116" s="88">
        <f t="shared" si="23"/>
        <v>0</v>
      </c>
      <c r="S116" s="78">
        <f t="shared" si="24"/>
        <v>0</v>
      </c>
      <c r="T116" s="78">
        <f t="shared" si="25"/>
        <v>0</v>
      </c>
      <c r="U116" s="78">
        <f t="shared" si="26"/>
        <v>0</v>
      </c>
      <c r="V116" s="79">
        <f t="shared" si="27"/>
        <v>0</v>
      </c>
    </row>
    <row r="117" spans="1:33" x14ac:dyDescent="0.35">
      <c r="B117" s="71">
        <f t="shared" si="22"/>
        <v>0</v>
      </c>
      <c r="C117" s="72"/>
      <c r="D117" s="140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41"/>
      <c r="Q117" s="101"/>
      <c r="R117" s="88">
        <f t="shared" si="23"/>
        <v>0</v>
      </c>
      <c r="S117" s="78">
        <f t="shared" si="24"/>
        <v>0</v>
      </c>
      <c r="T117" s="78">
        <f t="shared" si="25"/>
        <v>0</v>
      </c>
      <c r="U117" s="78">
        <f t="shared" si="26"/>
        <v>0</v>
      </c>
      <c r="V117" s="79">
        <f t="shared" si="27"/>
        <v>0</v>
      </c>
    </row>
    <row r="118" spans="1:33" x14ac:dyDescent="0.35">
      <c r="B118" s="71">
        <f t="shared" si="22"/>
        <v>0</v>
      </c>
      <c r="C118" s="72"/>
      <c r="D118" s="140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41"/>
      <c r="Q118" s="109"/>
      <c r="R118" s="88">
        <f t="shared" si="23"/>
        <v>0</v>
      </c>
      <c r="S118" s="78">
        <f t="shared" si="24"/>
        <v>0</v>
      </c>
      <c r="T118" s="78">
        <f t="shared" si="25"/>
        <v>0</v>
      </c>
      <c r="U118" s="78">
        <f t="shared" si="26"/>
        <v>0</v>
      </c>
      <c r="V118" s="79">
        <f t="shared" si="27"/>
        <v>0</v>
      </c>
    </row>
    <row r="119" spans="1:33" x14ac:dyDescent="0.35">
      <c r="B119" s="71">
        <f t="shared" si="22"/>
        <v>0</v>
      </c>
      <c r="C119" s="72"/>
      <c r="D119" s="140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41"/>
      <c r="Q119" s="87"/>
      <c r="R119" s="88">
        <f t="shared" si="23"/>
        <v>0</v>
      </c>
      <c r="S119" s="78">
        <f t="shared" si="24"/>
        <v>0</v>
      </c>
      <c r="T119" s="78">
        <f t="shared" si="25"/>
        <v>0</v>
      </c>
      <c r="U119" s="78">
        <f t="shared" si="26"/>
        <v>0</v>
      </c>
      <c r="V119" s="79">
        <f t="shared" si="27"/>
        <v>0</v>
      </c>
    </row>
    <row r="120" spans="1:33" x14ac:dyDescent="0.35">
      <c r="B120" s="71">
        <f t="shared" si="22"/>
        <v>0</v>
      </c>
      <c r="C120" s="72"/>
      <c r="D120" s="140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41"/>
      <c r="Q120" s="99"/>
      <c r="R120" s="88">
        <f t="shared" si="23"/>
        <v>0</v>
      </c>
      <c r="S120" s="78">
        <f t="shared" si="24"/>
        <v>0</v>
      </c>
      <c r="T120" s="78">
        <f t="shared" si="25"/>
        <v>0</v>
      </c>
      <c r="U120" s="78">
        <f t="shared" si="26"/>
        <v>0</v>
      </c>
      <c r="V120" s="79">
        <f t="shared" si="27"/>
        <v>0</v>
      </c>
    </row>
    <row r="121" spans="1:33" x14ac:dyDescent="0.35">
      <c r="B121" s="71">
        <f t="shared" si="22"/>
        <v>0</v>
      </c>
      <c r="C121" s="72"/>
      <c r="D121" s="140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41"/>
      <c r="Q121" s="99"/>
      <c r="R121" s="88">
        <f t="shared" si="23"/>
        <v>0</v>
      </c>
      <c r="S121" s="78">
        <f t="shared" si="24"/>
        <v>0</v>
      </c>
      <c r="T121" s="78">
        <f t="shared" si="25"/>
        <v>0</v>
      </c>
      <c r="U121" s="78">
        <f t="shared" si="26"/>
        <v>0</v>
      </c>
      <c r="V121" s="79">
        <f t="shared" si="27"/>
        <v>0</v>
      </c>
    </row>
    <row r="122" spans="1:33" x14ac:dyDescent="0.35">
      <c r="B122" s="71">
        <f t="shared" si="22"/>
        <v>0</v>
      </c>
      <c r="C122" s="72"/>
      <c r="D122" s="140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41"/>
      <c r="Q122" s="99"/>
      <c r="R122" s="88">
        <f t="shared" si="23"/>
        <v>0</v>
      </c>
      <c r="S122" s="78">
        <f t="shared" si="24"/>
        <v>0</v>
      </c>
      <c r="T122" s="78">
        <f t="shared" si="25"/>
        <v>0</v>
      </c>
      <c r="U122" s="78">
        <f t="shared" si="26"/>
        <v>0</v>
      </c>
      <c r="V122" s="79">
        <f t="shared" si="27"/>
        <v>0</v>
      </c>
    </row>
    <row r="123" spans="1:33" x14ac:dyDescent="0.35">
      <c r="B123" s="71">
        <f t="shared" si="22"/>
        <v>0</v>
      </c>
      <c r="C123" s="72"/>
      <c r="D123" s="140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41"/>
      <c r="Q123" s="99"/>
      <c r="R123" s="88">
        <f t="shared" si="23"/>
        <v>0</v>
      </c>
      <c r="S123" s="78">
        <f t="shared" si="24"/>
        <v>0</v>
      </c>
      <c r="T123" s="78">
        <f t="shared" si="25"/>
        <v>0</v>
      </c>
      <c r="U123" s="78">
        <f t="shared" si="26"/>
        <v>0</v>
      </c>
      <c r="V123" s="79">
        <f t="shared" si="27"/>
        <v>0</v>
      </c>
    </row>
    <row r="124" spans="1:33" x14ac:dyDescent="0.35">
      <c r="A124" s="110"/>
      <c r="B124" s="71">
        <f t="shared" si="22"/>
        <v>0</v>
      </c>
      <c r="C124" s="72"/>
      <c r="D124" s="140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41"/>
      <c r="Q124" s="99"/>
      <c r="R124" s="88">
        <f t="shared" si="23"/>
        <v>0</v>
      </c>
      <c r="S124" s="78">
        <f t="shared" si="24"/>
        <v>0</v>
      </c>
      <c r="T124" s="78">
        <f t="shared" si="25"/>
        <v>0</v>
      </c>
      <c r="U124" s="78">
        <f t="shared" si="26"/>
        <v>0</v>
      </c>
      <c r="V124" s="79">
        <f t="shared" si="27"/>
        <v>0</v>
      </c>
    </row>
    <row r="125" spans="1:33" x14ac:dyDescent="0.35">
      <c r="B125" s="71">
        <f t="shared" si="22"/>
        <v>0</v>
      </c>
      <c r="C125" s="72"/>
      <c r="D125" s="140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41"/>
      <c r="Q125" s="99"/>
      <c r="R125" s="88">
        <f t="shared" si="23"/>
        <v>0</v>
      </c>
      <c r="S125" s="78">
        <f t="shared" si="24"/>
        <v>0</v>
      </c>
      <c r="T125" s="78">
        <f t="shared" si="25"/>
        <v>0</v>
      </c>
      <c r="U125" s="78">
        <f t="shared" si="26"/>
        <v>0</v>
      </c>
      <c r="V125" s="79">
        <f t="shared" si="27"/>
        <v>0</v>
      </c>
    </row>
    <row r="126" spans="1:33" x14ac:dyDescent="0.35">
      <c r="A126" s="98"/>
      <c r="B126" s="71">
        <f t="shared" si="22"/>
        <v>0</v>
      </c>
      <c r="C126" s="72"/>
      <c r="D126" s="140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41"/>
      <c r="Q126" s="99"/>
      <c r="R126" s="88">
        <f t="shared" si="23"/>
        <v>0</v>
      </c>
      <c r="S126" s="78">
        <f t="shared" si="24"/>
        <v>0</v>
      </c>
      <c r="T126" s="78">
        <f t="shared" si="25"/>
        <v>0</v>
      </c>
      <c r="U126" s="78">
        <f t="shared" si="26"/>
        <v>0</v>
      </c>
      <c r="V126" s="79">
        <f t="shared" si="27"/>
        <v>0</v>
      </c>
    </row>
    <row r="127" spans="1:33" x14ac:dyDescent="0.35">
      <c r="B127" s="71">
        <f t="shared" si="22"/>
        <v>0</v>
      </c>
      <c r="C127" s="72"/>
      <c r="D127" s="140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41"/>
      <c r="Q127" s="101"/>
      <c r="R127" s="88">
        <f t="shared" si="23"/>
        <v>0</v>
      </c>
      <c r="S127" s="78">
        <f t="shared" si="24"/>
        <v>0</v>
      </c>
      <c r="T127" s="78">
        <f t="shared" si="25"/>
        <v>0</v>
      </c>
      <c r="U127" s="78">
        <f t="shared" si="26"/>
        <v>0</v>
      </c>
      <c r="V127" s="79">
        <f t="shared" si="27"/>
        <v>0</v>
      </c>
    </row>
    <row r="128" spans="1:33" x14ac:dyDescent="0.35">
      <c r="B128" s="71">
        <f t="shared" si="22"/>
        <v>0</v>
      </c>
      <c r="C128" s="72"/>
      <c r="D128" s="140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41"/>
      <c r="Q128" s="109"/>
      <c r="R128" s="88">
        <f t="shared" si="23"/>
        <v>0</v>
      </c>
      <c r="S128" s="78">
        <f t="shared" si="24"/>
        <v>0</v>
      </c>
      <c r="T128" s="78">
        <f t="shared" si="25"/>
        <v>0</v>
      </c>
      <c r="U128" s="78">
        <f t="shared" si="26"/>
        <v>0</v>
      </c>
      <c r="V128" s="79">
        <f t="shared" si="27"/>
        <v>0</v>
      </c>
    </row>
    <row r="129" spans="1:33" x14ac:dyDescent="0.35">
      <c r="A129" s="98"/>
      <c r="B129" s="71">
        <f t="shared" si="22"/>
        <v>0</v>
      </c>
      <c r="C129" s="72"/>
      <c r="D129" s="140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41"/>
      <c r="Q129" s="87"/>
      <c r="R129" s="88">
        <f t="shared" si="23"/>
        <v>0</v>
      </c>
      <c r="S129" s="78">
        <f t="shared" si="24"/>
        <v>0</v>
      </c>
      <c r="T129" s="78">
        <f t="shared" si="25"/>
        <v>0</v>
      </c>
      <c r="U129" s="78">
        <f t="shared" si="26"/>
        <v>0</v>
      </c>
      <c r="V129" s="79">
        <f t="shared" si="27"/>
        <v>0</v>
      </c>
    </row>
    <row r="130" spans="1:33" x14ac:dyDescent="0.35">
      <c r="B130" s="71">
        <f t="shared" si="22"/>
        <v>0</v>
      </c>
      <c r="C130" s="72"/>
      <c r="D130" s="140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41"/>
      <c r="Q130" s="99"/>
      <c r="R130" s="88">
        <f t="shared" si="23"/>
        <v>0</v>
      </c>
      <c r="S130" s="78">
        <f t="shared" si="24"/>
        <v>0</v>
      </c>
      <c r="T130" s="78">
        <f t="shared" si="25"/>
        <v>0</v>
      </c>
      <c r="U130" s="78">
        <f t="shared" si="26"/>
        <v>0</v>
      </c>
      <c r="V130" s="79">
        <f t="shared" si="27"/>
        <v>0</v>
      </c>
    </row>
    <row r="131" spans="1:33" x14ac:dyDescent="0.35">
      <c r="B131" s="71">
        <f t="shared" si="22"/>
        <v>0</v>
      </c>
      <c r="C131" s="72"/>
      <c r="D131" s="140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41"/>
      <c r="Q131" s="99"/>
      <c r="R131" s="88">
        <f t="shared" si="23"/>
        <v>0</v>
      </c>
      <c r="S131" s="78">
        <f t="shared" si="24"/>
        <v>0</v>
      </c>
      <c r="T131" s="78">
        <f t="shared" si="25"/>
        <v>0</v>
      </c>
      <c r="U131" s="78">
        <f t="shared" si="26"/>
        <v>0</v>
      </c>
      <c r="V131" s="79">
        <f t="shared" si="27"/>
        <v>0</v>
      </c>
    </row>
    <row r="132" spans="1:33" x14ac:dyDescent="0.35">
      <c r="B132" s="71">
        <f t="shared" si="22"/>
        <v>0</v>
      </c>
      <c r="C132" s="72"/>
      <c r="D132" s="140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41"/>
      <c r="Q132" s="99"/>
      <c r="R132" s="88">
        <f t="shared" si="23"/>
        <v>0</v>
      </c>
      <c r="S132" s="78">
        <f t="shared" si="24"/>
        <v>0</v>
      </c>
      <c r="T132" s="78">
        <f t="shared" si="25"/>
        <v>0</v>
      </c>
      <c r="U132" s="78">
        <f t="shared" si="26"/>
        <v>0</v>
      </c>
      <c r="V132" s="79">
        <f t="shared" si="27"/>
        <v>0</v>
      </c>
    </row>
    <row r="133" spans="1:33" x14ac:dyDescent="0.35">
      <c r="B133" s="71">
        <f t="shared" si="22"/>
        <v>0</v>
      </c>
      <c r="C133" s="72"/>
      <c r="D133" s="140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41"/>
      <c r="Q133" s="101"/>
      <c r="R133" s="88">
        <f t="shared" si="23"/>
        <v>0</v>
      </c>
      <c r="S133" s="78">
        <f t="shared" si="24"/>
        <v>0</v>
      </c>
      <c r="T133" s="78">
        <f t="shared" si="25"/>
        <v>0</v>
      </c>
      <c r="U133" s="78">
        <f t="shared" si="26"/>
        <v>0</v>
      </c>
      <c r="V133" s="79">
        <f t="shared" si="27"/>
        <v>0</v>
      </c>
    </row>
    <row r="134" spans="1:33" x14ac:dyDescent="0.35">
      <c r="B134" s="71">
        <f t="shared" si="22"/>
        <v>0</v>
      </c>
      <c r="C134" s="72"/>
      <c r="D134" s="140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41"/>
      <c r="Q134" s="109"/>
      <c r="R134" s="88">
        <f t="shared" si="23"/>
        <v>0</v>
      </c>
      <c r="S134" s="78">
        <f t="shared" si="24"/>
        <v>0</v>
      </c>
      <c r="T134" s="78">
        <f t="shared" si="25"/>
        <v>0</v>
      </c>
      <c r="U134" s="78">
        <f t="shared" si="26"/>
        <v>0</v>
      </c>
      <c r="V134" s="79">
        <f t="shared" si="27"/>
        <v>0</v>
      </c>
    </row>
    <row r="135" spans="1:33" x14ac:dyDescent="0.35">
      <c r="A135" s="98"/>
      <c r="B135" s="71">
        <f t="shared" si="22"/>
        <v>0</v>
      </c>
      <c r="C135" s="72"/>
      <c r="D135" s="140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41"/>
      <c r="Q135" s="87"/>
      <c r="R135" s="88">
        <f t="shared" si="23"/>
        <v>0</v>
      </c>
      <c r="S135" s="78">
        <f t="shared" si="24"/>
        <v>0</v>
      </c>
      <c r="T135" s="78">
        <f t="shared" si="25"/>
        <v>0</v>
      </c>
      <c r="U135" s="78">
        <f t="shared" si="26"/>
        <v>0</v>
      </c>
      <c r="V135" s="79">
        <f t="shared" si="27"/>
        <v>0</v>
      </c>
    </row>
    <row r="136" spans="1:33" x14ac:dyDescent="0.35">
      <c r="B136" s="71">
        <f t="shared" si="22"/>
        <v>0</v>
      </c>
      <c r="C136" s="72"/>
      <c r="D136" s="140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41"/>
      <c r="Q136" s="99"/>
      <c r="R136" s="88">
        <f t="shared" si="23"/>
        <v>0</v>
      </c>
      <c r="S136" s="78">
        <f t="shared" si="24"/>
        <v>0</v>
      </c>
      <c r="T136" s="78">
        <f t="shared" si="25"/>
        <v>0</v>
      </c>
      <c r="U136" s="78">
        <f t="shared" si="26"/>
        <v>0</v>
      </c>
      <c r="V136" s="79">
        <f t="shared" si="27"/>
        <v>0</v>
      </c>
    </row>
    <row r="137" spans="1:33" x14ac:dyDescent="0.35">
      <c r="A137" s="98"/>
      <c r="B137" s="71">
        <f t="shared" ref="B137:B200" si="28">SUM(E137:P137)</f>
        <v>0</v>
      </c>
      <c r="C137" s="72"/>
      <c r="D137" s="140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41"/>
      <c r="Q137" s="99"/>
      <c r="R137" s="88">
        <f t="shared" si="23"/>
        <v>0</v>
      </c>
      <c r="S137" s="78">
        <f t="shared" si="24"/>
        <v>0</v>
      </c>
      <c r="T137" s="78">
        <f t="shared" si="25"/>
        <v>0</v>
      </c>
      <c r="U137" s="78">
        <f t="shared" si="26"/>
        <v>0</v>
      </c>
      <c r="V137" s="79">
        <f t="shared" si="27"/>
        <v>0</v>
      </c>
      <c r="W137" s="65"/>
      <c r="AE137" s="65"/>
      <c r="AF137" s="65"/>
      <c r="AG137" s="65"/>
    </row>
    <row r="138" spans="1:33" s="65" customFormat="1" x14ac:dyDescent="0.35">
      <c r="B138" s="71">
        <f t="shared" si="28"/>
        <v>0</v>
      </c>
      <c r="C138" s="72"/>
      <c r="D138" s="140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41"/>
      <c r="Q138" s="101"/>
      <c r="R138" s="88">
        <f t="shared" si="23"/>
        <v>0</v>
      </c>
      <c r="S138" s="78">
        <f t="shared" si="24"/>
        <v>0</v>
      </c>
      <c r="T138" s="78">
        <f t="shared" si="25"/>
        <v>0</v>
      </c>
      <c r="U138" s="78">
        <f t="shared" si="26"/>
        <v>0</v>
      </c>
      <c r="V138" s="79">
        <f t="shared" si="27"/>
        <v>0</v>
      </c>
      <c r="W138" s="63"/>
      <c r="Z138" s="142"/>
      <c r="AA138" s="142"/>
      <c r="AB138" s="142"/>
      <c r="AC138" s="142"/>
      <c r="AD138" s="142"/>
      <c r="AE138" s="63"/>
      <c r="AF138" s="63"/>
      <c r="AG138" s="63"/>
    </row>
    <row r="139" spans="1:33" x14ac:dyDescent="0.35">
      <c r="A139" s="113"/>
      <c r="B139" s="71">
        <f t="shared" si="28"/>
        <v>0</v>
      </c>
      <c r="C139" s="72"/>
      <c r="D139" s="140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41"/>
      <c r="Q139" s="99"/>
      <c r="R139" s="88">
        <f t="shared" ref="R139:R202" si="29">SUM(E139:P139)</f>
        <v>0</v>
      </c>
      <c r="S139" s="78">
        <f t="shared" ref="S139:S202" si="30">SUM(H139:P139)/9*12</f>
        <v>0</v>
      </c>
      <c r="T139" s="78">
        <f t="shared" ref="T139:T202" si="31">SUM(K139:P139)*2</f>
        <v>0</v>
      </c>
      <c r="U139" s="78">
        <f t="shared" ref="U139:U202" si="32">SUM(N139:P139)*4</f>
        <v>0</v>
      </c>
      <c r="V139" s="79">
        <f t="shared" ref="V139:V202" si="33">SUM(P139)*12</f>
        <v>0</v>
      </c>
      <c r="W139" s="65"/>
      <c r="AE139" s="65"/>
      <c r="AF139" s="65"/>
      <c r="AG139" s="65"/>
    </row>
    <row r="140" spans="1:33" s="65" customFormat="1" x14ac:dyDescent="0.35">
      <c r="A140" s="143"/>
      <c r="B140" s="71">
        <f t="shared" si="28"/>
        <v>0</v>
      </c>
      <c r="C140" s="72"/>
      <c r="D140" s="140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41"/>
      <c r="Q140" s="101"/>
      <c r="R140" s="88">
        <f t="shared" si="29"/>
        <v>0</v>
      </c>
      <c r="S140" s="78">
        <f t="shared" si="30"/>
        <v>0</v>
      </c>
      <c r="T140" s="78">
        <f t="shared" si="31"/>
        <v>0</v>
      </c>
      <c r="U140" s="78">
        <f t="shared" si="32"/>
        <v>0</v>
      </c>
      <c r="V140" s="79">
        <f t="shared" si="33"/>
        <v>0</v>
      </c>
      <c r="W140" s="63"/>
      <c r="Z140" s="142"/>
      <c r="AA140" s="142"/>
      <c r="AB140" s="142"/>
      <c r="AC140" s="142"/>
      <c r="AD140" s="142"/>
      <c r="AE140" s="63"/>
      <c r="AF140" s="63"/>
      <c r="AG140" s="63"/>
    </row>
    <row r="141" spans="1:33" x14ac:dyDescent="0.35">
      <c r="A141" s="98"/>
      <c r="B141" s="71">
        <f t="shared" si="28"/>
        <v>0</v>
      </c>
      <c r="C141" s="72"/>
      <c r="D141" s="140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41"/>
      <c r="Q141" s="99"/>
      <c r="R141" s="88">
        <f t="shared" si="29"/>
        <v>0</v>
      </c>
      <c r="S141" s="78">
        <f t="shared" si="30"/>
        <v>0</v>
      </c>
      <c r="T141" s="78">
        <f t="shared" si="31"/>
        <v>0</v>
      </c>
      <c r="U141" s="78">
        <f t="shared" si="32"/>
        <v>0</v>
      </c>
      <c r="V141" s="79">
        <f t="shared" si="33"/>
        <v>0</v>
      </c>
    </row>
    <row r="142" spans="1:33" x14ac:dyDescent="0.35">
      <c r="A142" s="98"/>
      <c r="B142" s="71">
        <f t="shared" si="28"/>
        <v>0</v>
      </c>
      <c r="C142" s="72"/>
      <c r="D142" s="140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41"/>
      <c r="Q142" s="99"/>
      <c r="R142" s="88">
        <f t="shared" si="29"/>
        <v>0</v>
      </c>
      <c r="S142" s="78">
        <f t="shared" si="30"/>
        <v>0</v>
      </c>
      <c r="T142" s="78">
        <f t="shared" si="31"/>
        <v>0</v>
      </c>
      <c r="U142" s="78">
        <f t="shared" si="32"/>
        <v>0</v>
      </c>
      <c r="V142" s="79">
        <f t="shared" si="33"/>
        <v>0</v>
      </c>
    </row>
    <row r="143" spans="1:33" x14ac:dyDescent="0.35">
      <c r="B143" s="71">
        <f t="shared" si="28"/>
        <v>0</v>
      </c>
      <c r="C143" s="72"/>
      <c r="D143" s="140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41"/>
      <c r="Q143" s="99"/>
      <c r="R143" s="88">
        <f t="shared" si="29"/>
        <v>0</v>
      </c>
      <c r="S143" s="78">
        <f t="shared" si="30"/>
        <v>0</v>
      </c>
      <c r="T143" s="78">
        <f t="shared" si="31"/>
        <v>0</v>
      </c>
      <c r="U143" s="78">
        <f t="shared" si="32"/>
        <v>0</v>
      </c>
      <c r="V143" s="79">
        <f t="shared" si="33"/>
        <v>0</v>
      </c>
    </row>
    <row r="144" spans="1:33" x14ac:dyDescent="0.35">
      <c r="B144" s="71">
        <f t="shared" si="28"/>
        <v>0</v>
      </c>
      <c r="C144" s="72"/>
      <c r="D144" s="140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41"/>
      <c r="Q144" s="99"/>
      <c r="R144" s="88">
        <f t="shared" si="29"/>
        <v>0</v>
      </c>
      <c r="S144" s="78">
        <f t="shared" si="30"/>
        <v>0</v>
      </c>
      <c r="T144" s="78">
        <f t="shared" si="31"/>
        <v>0</v>
      </c>
      <c r="U144" s="78">
        <f t="shared" si="32"/>
        <v>0</v>
      </c>
      <c r="V144" s="79">
        <f t="shared" si="33"/>
        <v>0</v>
      </c>
    </row>
    <row r="145" spans="1:33" x14ac:dyDescent="0.35">
      <c r="A145" s="138"/>
      <c r="B145" s="71">
        <f t="shared" si="28"/>
        <v>0</v>
      </c>
      <c r="C145" s="72"/>
      <c r="D145" s="140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41"/>
      <c r="Q145" s="101"/>
      <c r="R145" s="88">
        <f t="shared" si="29"/>
        <v>0</v>
      </c>
      <c r="S145" s="78">
        <f t="shared" si="30"/>
        <v>0</v>
      </c>
      <c r="T145" s="78">
        <f t="shared" si="31"/>
        <v>0</v>
      </c>
      <c r="U145" s="78">
        <f t="shared" si="32"/>
        <v>0</v>
      </c>
      <c r="V145" s="79">
        <f t="shared" si="33"/>
        <v>0</v>
      </c>
    </row>
    <row r="146" spans="1:33" x14ac:dyDescent="0.35">
      <c r="B146" s="71">
        <f t="shared" si="28"/>
        <v>0</v>
      </c>
      <c r="C146" s="72"/>
      <c r="D146" s="140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41"/>
      <c r="Q146" s="109"/>
      <c r="R146" s="88">
        <f t="shared" si="29"/>
        <v>0</v>
      </c>
      <c r="S146" s="78">
        <f t="shared" si="30"/>
        <v>0</v>
      </c>
      <c r="T146" s="78">
        <f t="shared" si="31"/>
        <v>0</v>
      </c>
      <c r="U146" s="78">
        <f t="shared" si="32"/>
        <v>0</v>
      </c>
      <c r="V146" s="79">
        <f t="shared" si="33"/>
        <v>0</v>
      </c>
    </row>
    <row r="147" spans="1:33" x14ac:dyDescent="0.35">
      <c r="B147" s="71">
        <f t="shared" si="28"/>
        <v>0</v>
      </c>
      <c r="C147" s="72"/>
      <c r="D147" s="140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41"/>
      <c r="Q147" s="87"/>
      <c r="R147" s="88">
        <f t="shared" si="29"/>
        <v>0</v>
      </c>
      <c r="S147" s="78">
        <f t="shared" si="30"/>
        <v>0</v>
      </c>
      <c r="T147" s="78">
        <f t="shared" si="31"/>
        <v>0</v>
      </c>
      <c r="U147" s="78">
        <f t="shared" si="32"/>
        <v>0</v>
      </c>
      <c r="V147" s="79">
        <f t="shared" si="33"/>
        <v>0</v>
      </c>
    </row>
    <row r="148" spans="1:33" x14ac:dyDescent="0.35">
      <c r="B148" s="71">
        <f t="shared" si="28"/>
        <v>0</v>
      </c>
      <c r="C148" s="72"/>
      <c r="D148" s="140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41"/>
      <c r="Q148" s="99"/>
      <c r="R148" s="88">
        <f t="shared" si="29"/>
        <v>0</v>
      </c>
      <c r="S148" s="78">
        <f t="shared" si="30"/>
        <v>0</v>
      </c>
      <c r="T148" s="78">
        <f t="shared" si="31"/>
        <v>0</v>
      </c>
      <c r="U148" s="78">
        <f t="shared" si="32"/>
        <v>0</v>
      </c>
      <c r="V148" s="79">
        <f t="shared" si="33"/>
        <v>0</v>
      </c>
    </row>
    <row r="149" spans="1:33" x14ac:dyDescent="0.35">
      <c r="B149" s="71">
        <f t="shared" si="28"/>
        <v>0</v>
      </c>
      <c r="C149" s="72"/>
      <c r="D149" s="140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41"/>
      <c r="Q149" s="99"/>
      <c r="R149" s="88">
        <f t="shared" si="29"/>
        <v>0</v>
      </c>
      <c r="S149" s="78">
        <f t="shared" si="30"/>
        <v>0</v>
      </c>
      <c r="T149" s="78">
        <f t="shared" si="31"/>
        <v>0</v>
      </c>
      <c r="U149" s="78">
        <f t="shared" si="32"/>
        <v>0</v>
      </c>
      <c r="V149" s="79">
        <f t="shared" si="33"/>
        <v>0</v>
      </c>
      <c r="W149" s="65"/>
      <c r="AE149" s="65"/>
      <c r="AF149" s="65"/>
      <c r="AG149" s="65"/>
    </row>
    <row r="150" spans="1:33" s="65" customFormat="1" x14ac:dyDescent="0.35">
      <c r="B150" s="71">
        <f t="shared" si="28"/>
        <v>0</v>
      </c>
      <c r="C150" s="72"/>
      <c r="D150" s="140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41"/>
      <c r="Q150" s="101"/>
      <c r="R150" s="88">
        <f t="shared" si="29"/>
        <v>0</v>
      </c>
      <c r="S150" s="78">
        <f t="shared" si="30"/>
        <v>0</v>
      </c>
      <c r="T150" s="78">
        <f t="shared" si="31"/>
        <v>0</v>
      </c>
      <c r="U150" s="78">
        <f t="shared" si="32"/>
        <v>0</v>
      </c>
      <c r="V150" s="79">
        <f t="shared" si="33"/>
        <v>0</v>
      </c>
      <c r="W150" s="63"/>
      <c r="Z150" s="142"/>
      <c r="AA150" s="142"/>
      <c r="AB150" s="142"/>
      <c r="AC150" s="142"/>
      <c r="AD150" s="142"/>
      <c r="AE150" s="63"/>
      <c r="AF150" s="63"/>
      <c r="AG150" s="63"/>
    </row>
    <row r="151" spans="1:33" x14ac:dyDescent="0.35">
      <c r="B151" s="71">
        <f t="shared" si="28"/>
        <v>0</v>
      </c>
      <c r="C151" s="72"/>
      <c r="D151" s="140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41"/>
      <c r="Q151" s="99"/>
      <c r="R151" s="88">
        <f t="shared" si="29"/>
        <v>0</v>
      </c>
      <c r="S151" s="78">
        <f t="shared" si="30"/>
        <v>0</v>
      </c>
      <c r="T151" s="78">
        <f t="shared" si="31"/>
        <v>0</v>
      </c>
      <c r="U151" s="78">
        <f t="shared" si="32"/>
        <v>0</v>
      </c>
      <c r="V151" s="79">
        <f t="shared" si="33"/>
        <v>0</v>
      </c>
      <c r="W151" s="65"/>
      <c r="AE151" s="65"/>
      <c r="AF151" s="65"/>
      <c r="AG151" s="65"/>
    </row>
    <row r="152" spans="1:33" s="65" customFormat="1" x14ac:dyDescent="0.35">
      <c r="B152" s="71">
        <f t="shared" si="28"/>
        <v>0</v>
      </c>
      <c r="C152" s="72"/>
      <c r="D152" s="140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41"/>
      <c r="Q152" s="101"/>
      <c r="R152" s="88">
        <f t="shared" si="29"/>
        <v>0</v>
      </c>
      <c r="S152" s="78">
        <f t="shared" si="30"/>
        <v>0</v>
      </c>
      <c r="T152" s="78">
        <f t="shared" si="31"/>
        <v>0</v>
      </c>
      <c r="U152" s="78">
        <f t="shared" si="32"/>
        <v>0</v>
      </c>
      <c r="V152" s="79">
        <f t="shared" si="33"/>
        <v>0</v>
      </c>
      <c r="W152" s="63"/>
      <c r="Z152" s="142"/>
      <c r="AA152" s="142"/>
      <c r="AB152" s="142"/>
      <c r="AC152" s="142"/>
      <c r="AD152" s="142"/>
      <c r="AE152" s="63"/>
      <c r="AF152" s="63"/>
      <c r="AG152" s="63"/>
    </row>
    <row r="153" spans="1:33" x14ac:dyDescent="0.35">
      <c r="A153" s="113"/>
      <c r="B153" s="71">
        <f t="shared" si="28"/>
        <v>0</v>
      </c>
      <c r="C153" s="72"/>
      <c r="D153" s="140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41"/>
      <c r="Q153" s="99"/>
      <c r="R153" s="88">
        <f t="shared" si="29"/>
        <v>0</v>
      </c>
      <c r="S153" s="78">
        <f t="shared" si="30"/>
        <v>0</v>
      </c>
      <c r="T153" s="78">
        <f t="shared" si="31"/>
        <v>0</v>
      </c>
      <c r="U153" s="78">
        <f t="shared" si="32"/>
        <v>0</v>
      </c>
      <c r="V153" s="79">
        <f t="shared" si="33"/>
        <v>0</v>
      </c>
    </row>
    <row r="154" spans="1:33" x14ac:dyDescent="0.35">
      <c r="A154" s="113"/>
      <c r="B154" s="71">
        <f t="shared" si="28"/>
        <v>0</v>
      </c>
      <c r="C154" s="72"/>
      <c r="D154" s="140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41"/>
      <c r="Q154" s="99"/>
      <c r="R154" s="88">
        <f t="shared" si="29"/>
        <v>0</v>
      </c>
      <c r="S154" s="78">
        <f t="shared" si="30"/>
        <v>0</v>
      </c>
      <c r="T154" s="78">
        <f t="shared" si="31"/>
        <v>0</v>
      </c>
      <c r="U154" s="78">
        <f t="shared" si="32"/>
        <v>0</v>
      </c>
      <c r="V154" s="79">
        <f t="shared" si="33"/>
        <v>0</v>
      </c>
    </row>
    <row r="155" spans="1:33" x14ac:dyDescent="0.35">
      <c r="A155" s="113"/>
      <c r="B155" s="71">
        <f t="shared" si="28"/>
        <v>0</v>
      </c>
      <c r="C155" s="72"/>
      <c r="D155" s="140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41"/>
      <c r="Q155" s="99"/>
      <c r="R155" s="88">
        <f t="shared" si="29"/>
        <v>0</v>
      </c>
      <c r="S155" s="78">
        <f t="shared" si="30"/>
        <v>0</v>
      </c>
      <c r="T155" s="78">
        <f t="shared" si="31"/>
        <v>0</v>
      </c>
      <c r="U155" s="78">
        <f t="shared" si="32"/>
        <v>0</v>
      </c>
      <c r="V155" s="79">
        <f t="shared" si="33"/>
        <v>0</v>
      </c>
    </row>
    <row r="156" spans="1:33" x14ac:dyDescent="0.35">
      <c r="A156" s="113"/>
      <c r="B156" s="71">
        <f t="shared" si="28"/>
        <v>0</v>
      </c>
      <c r="C156" s="72"/>
      <c r="D156" s="140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41"/>
      <c r="Q156" s="99"/>
      <c r="R156" s="88">
        <f t="shared" si="29"/>
        <v>0</v>
      </c>
      <c r="S156" s="78">
        <f t="shared" si="30"/>
        <v>0</v>
      </c>
      <c r="T156" s="78">
        <f t="shared" si="31"/>
        <v>0</v>
      </c>
      <c r="U156" s="78">
        <f t="shared" si="32"/>
        <v>0</v>
      </c>
      <c r="V156" s="79">
        <f t="shared" si="33"/>
        <v>0</v>
      </c>
    </row>
    <row r="157" spans="1:33" x14ac:dyDescent="0.35">
      <c r="A157" s="113"/>
      <c r="B157" s="71">
        <f t="shared" si="28"/>
        <v>0</v>
      </c>
      <c r="C157" s="72"/>
      <c r="D157" s="140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41"/>
      <c r="Q157" s="99"/>
      <c r="R157" s="88">
        <f t="shared" si="29"/>
        <v>0</v>
      </c>
      <c r="S157" s="78">
        <f t="shared" si="30"/>
        <v>0</v>
      </c>
      <c r="T157" s="78">
        <f t="shared" si="31"/>
        <v>0</v>
      </c>
      <c r="U157" s="78">
        <f t="shared" si="32"/>
        <v>0</v>
      </c>
      <c r="V157" s="79">
        <f t="shared" si="33"/>
        <v>0</v>
      </c>
    </row>
    <row r="158" spans="1:33" x14ac:dyDescent="0.35">
      <c r="A158" s="113"/>
      <c r="B158" s="71">
        <f t="shared" si="28"/>
        <v>0</v>
      </c>
      <c r="C158" s="72"/>
      <c r="D158" s="140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41"/>
      <c r="Q158" s="99"/>
      <c r="R158" s="88">
        <f t="shared" si="29"/>
        <v>0</v>
      </c>
      <c r="S158" s="78">
        <f t="shared" si="30"/>
        <v>0</v>
      </c>
      <c r="T158" s="78">
        <f t="shared" si="31"/>
        <v>0</v>
      </c>
      <c r="U158" s="78">
        <f t="shared" si="32"/>
        <v>0</v>
      </c>
      <c r="V158" s="79">
        <f t="shared" si="33"/>
        <v>0</v>
      </c>
      <c r="W158" s="65"/>
      <c r="AE158" s="65"/>
      <c r="AF158" s="65"/>
      <c r="AG158" s="65"/>
    </row>
    <row r="159" spans="1:33" s="65" customFormat="1" x14ac:dyDescent="0.35">
      <c r="A159" s="113"/>
      <c r="B159" s="71">
        <f t="shared" si="28"/>
        <v>0</v>
      </c>
      <c r="C159" s="72"/>
      <c r="D159" s="140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41"/>
      <c r="Q159" s="101"/>
      <c r="R159" s="88">
        <f t="shared" si="29"/>
        <v>0</v>
      </c>
      <c r="S159" s="78">
        <f t="shared" si="30"/>
        <v>0</v>
      </c>
      <c r="T159" s="78">
        <f t="shared" si="31"/>
        <v>0</v>
      </c>
      <c r="U159" s="78">
        <f t="shared" si="32"/>
        <v>0</v>
      </c>
      <c r="V159" s="79">
        <f t="shared" si="33"/>
        <v>0</v>
      </c>
      <c r="W159" s="63"/>
      <c r="Z159" s="142"/>
      <c r="AA159" s="142"/>
      <c r="AB159" s="142"/>
      <c r="AC159" s="142"/>
      <c r="AD159" s="142"/>
      <c r="AE159" s="63"/>
      <c r="AF159" s="63"/>
      <c r="AG159" s="63"/>
    </row>
    <row r="160" spans="1:33" x14ac:dyDescent="0.35">
      <c r="A160" s="113"/>
      <c r="B160" s="71">
        <f t="shared" si="28"/>
        <v>0</v>
      </c>
      <c r="C160" s="72"/>
      <c r="D160" s="140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41"/>
      <c r="Q160" s="99"/>
      <c r="R160" s="88">
        <f t="shared" si="29"/>
        <v>0</v>
      </c>
      <c r="S160" s="78">
        <f t="shared" si="30"/>
        <v>0</v>
      </c>
      <c r="T160" s="78">
        <f t="shared" si="31"/>
        <v>0</v>
      </c>
      <c r="U160" s="78">
        <f t="shared" si="32"/>
        <v>0</v>
      </c>
      <c r="V160" s="79">
        <f t="shared" si="33"/>
        <v>0</v>
      </c>
    </row>
    <row r="161" spans="1:33" x14ac:dyDescent="0.35">
      <c r="A161" s="144"/>
      <c r="B161" s="71">
        <f t="shared" si="28"/>
        <v>0</v>
      </c>
      <c r="C161" s="72"/>
      <c r="D161" s="140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41"/>
      <c r="Q161" s="99"/>
      <c r="R161" s="88">
        <f t="shared" si="29"/>
        <v>0</v>
      </c>
      <c r="S161" s="78">
        <f t="shared" si="30"/>
        <v>0</v>
      </c>
      <c r="T161" s="78">
        <f t="shared" si="31"/>
        <v>0</v>
      </c>
      <c r="U161" s="78">
        <f t="shared" si="32"/>
        <v>0</v>
      </c>
      <c r="V161" s="79">
        <f t="shared" si="33"/>
        <v>0</v>
      </c>
    </row>
    <row r="162" spans="1:33" ht="15.5" x14ac:dyDescent="0.35">
      <c r="A162" s="113"/>
      <c r="B162" s="71">
        <f t="shared" si="28"/>
        <v>0</v>
      </c>
      <c r="C162" s="72"/>
      <c r="D162" s="145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41"/>
      <c r="Q162" s="99"/>
      <c r="R162" s="88">
        <f t="shared" si="29"/>
        <v>0</v>
      </c>
      <c r="S162" s="78">
        <f t="shared" si="30"/>
        <v>0</v>
      </c>
      <c r="T162" s="78">
        <f t="shared" si="31"/>
        <v>0</v>
      </c>
      <c r="U162" s="78">
        <f t="shared" si="32"/>
        <v>0</v>
      </c>
      <c r="V162" s="79">
        <f t="shared" si="33"/>
        <v>0</v>
      </c>
    </row>
    <row r="163" spans="1:33" x14ac:dyDescent="0.35">
      <c r="A163" s="113"/>
      <c r="B163" s="71">
        <f t="shared" si="28"/>
        <v>0</v>
      </c>
      <c r="C163" s="72"/>
      <c r="D163" s="140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41"/>
      <c r="Q163" s="99"/>
      <c r="R163" s="88">
        <f t="shared" si="29"/>
        <v>0</v>
      </c>
      <c r="S163" s="78">
        <f t="shared" si="30"/>
        <v>0</v>
      </c>
      <c r="T163" s="78">
        <f t="shared" si="31"/>
        <v>0</v>
      </c>
      <c r="U163" s="78">
        <f t="shared" si="32"/>
        <v>0</v>
      </c>
      <c r="V163" s="79">
        <f t="shared" si="33"/>
        <v>0</v>
      </c>
      <c r="W163" s="65"/>
      <c r="AE163" s="65"/>
      <c r="AF163" s="65"/>
      <c r="AG163" s="65"/>
    </row>
    <row r="164" spans="1:33" s="65" customFormat="1" x14ac:dyDescent="0.35">
      <c r="A164" s="95"/>
      <c r="B164" s="71">
        <f t="shared" si="28"/>
        <v>0</v>
      </c>
      <c r="C164" s="72"/>
      <c r="D164" s="140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41"/>
      <c r="Q164" s="146"/>
      <c r="R164" s="88">
        <f t="shared" si="29"/>
        <v>0</v>
      </c>
      <c r="S164" s="78">
        <f t="shared" si="30"/>
        <v>0</v>
      </c>
      <c r="T164" s="78">
        <f t="shared" si="31"/>
        <v>0</v>
      </c>
      <c r="U164" s="78">
        <f t="shared" si="32"/>
        <v>0</v>
      </c>
      <c r="V164" s="79">
        <f t="shared" si="33"/>
        <v>0</v>
      </c>
      <c r="W164" s="63"/>
      <c r="Z164" s="142"/>
      <c r="AA164" s="142"/>
      <c r="AB164" s="142"/>
      <c r="AC164" s="142"/>
      <c r="AD164" s="142"/>
      <c r="AE164" s="63"/>
      <c r="AF164" s="63"/>
      <c r="AG164" s="63"/>
    </row>
    <row r="165" spans="1:33" x14ac:dyDescent="0.35">
      <c r="B165" s="71">
        <f t="shared" si="28"/>
        <v>0</v>
      </c>
      <c r="C165" s="72"/>
      <c r="D165" s="140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41"/>
      <c r="Q165" s="101"/>
      <c r="R165" s="88">
        <f t="shared" si="29"/>
        <v>0</v>
      </c>
      <c r="S165" s="78">
        <f t="shared" si="30"/>
        <v>0</v>
      </c>
      <c r="T165" s="78">
        <f t="shared" si="31"/>
        <v>0</v>
      </c>
      <c r="U165" s="78">
        <f t="shared" si="32"/>
        <v>0</v>
      </c>
      <c r="V165" s="79">
        <f t="shared" si="33"/>
        <v>0</v>
      </c>
    </row>
    <row r="166" spans="1:33" x14ac:dyDescent="0.35">
      <c r="B166" s="71">
        <f t="shared" si="28"/>
        <v>0</v>
      </c>
      <c r="C166" s="72"/>
      <c r="D166" s="140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41"/>
      <c r="Q166" s="109"/>
      <c r="R166" s="88">
        <f t="shared" si="29"/>
        <v>0</v>
      </c>
      <c r="S166" s="78">
        <f t="shared" si="30"/>
        <v>0</v>
      </c>
      <c r="T166" s="78">
        <f t="shared" si="31"/>
        <v>0</v>
      </c>
      <c r="U166" s="78">
        <f t="shared" si="32"/>
        <v>0</v>
      </c>
      <c r="V166" s="79">
        <f t="shared" si="33"/>
        <v>0</v>
      </c>
    </row>
    <row r="167" spans="1:33" x14ac:dyDescent="0.35">
      <c r="B167" s="71">
        <f t="shared" si="28"/>
        <v>0</v>
      </c>
      <c r="C167" s="72"/>
      <c r="D167" s="140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41"/>
      <c r="Q167" s="87"/>
      <c r="R167" s="88">
        <f t="shared" si="29"/>
        <v>0</v>
      </c>
      <c r="S167" s="78">
        <f t="shared" si="30"/>
        <v>0</v>
      </c>
      <c r="T167" s="78">
        <f t="shared" si="31"/>
        <v>0</v>
      </c>
      <c r="U167" s="78">
        <f t="shared" si="32"/>
        <v>0</v>
      </c>
      <c r="V167" s="79">
        <f t="shared" si="33"/>
        <v>0</v>
      </c>
    </row>
    <row r="168" spans="1:33" x14ac:dyDescent="0.35">
      <c r="B168" s="71">
        <f t="shared" si="28"/>
        <v>0</v>
      </c>
      <c r="C168" s="72"/>
      <c r="D168" s="140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41"/>
      <c r="Q168" s="99"/>
      <c r="R168" s="88">
        <f t="shared" si="29"/>
        <v>0</v>
      </c>
      <c r="S168" s="78">
        <f t="shared" si="30"/>
        <v>0</v>
      </c>
      <c r="T168" s="78">
        <f t="shared" si="31"/>
        <v>0</v>
      </c>
      <c r="U168" s="78">
        <f t="shared" si="32"/>
        <v>0</v>
      </c>
      <c r="V168" s="79">
        <f t="shared" si="33"/>
        <v>0</v>
      </c>
    </row>
    <row r="169" spans="1:33" x14ac:dyDescent="0.35">
      <c r="B169" s="71">
        <f t="shared" si="28"/>
        <v>0</v>
      </c>
      <c r="C169" s="72"/>
      <c r="D169" s="140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41"/>
      <c r="Q169" s="99"/>
      <c r="R169" s="88">
        <f t="shared" si="29"/>
        <v>0</v>
      </c>
      <c r="S169" s="78">
        <f t="shared" si="30"/>
        <v>0</v>
      </c>
      <c r="T169" s="78">
        <f t="shared" si="31"/>
        <v>0</v>
      </c>
      <c r="U169" s="78">
        <f t="shared" si="32"/>
        <v>0</v>
      </c>
      <c r="V169" s="79">
        <f t="shared" si="33"/>
        <v>0</v>
      </c>
      <c r="W169" s="65"/>
      <c r="AE169" s="65"/>
      <c r="AF169" s="65"/>
      <c r="AG169" s="65"/>
    </row>
    <row r="170" spans="1:33" s="65" customFormat="1" x14ac:dyDescent="0.35">
      <c r="B170" s="71">
        <f t="shared" si="28"/>
        <v>0</v>
      </c>
      <c r="C170" s="72"/>
      <c r="D170" s="140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41"/>
      <c r="Q170" s="101"/>
      <c r="R170" s="88">
        <f t="shared" si="29"/>
        <v>0</v>
      </c>
      <c r="S170" s="78">
        <f t="shared" si="30"/>
        <v>0</v>
      </c>
      <c r="T170" s="78">
        <f t="shared" si="31"/>
        <v>0</v>
      </c>
      <c r="U170" s="78">
        <f t="shared" si="32"/>
        <v>0</v>
      </c>
      <c r="V170" s="79">
        <f t="shared" si="33"/>
        <v>0</v>
      </c>
      <c r="W170" s="63"/>
      <c r="Z170" s="142"/>
      <c r="AA170" s="142"/>
      <c r="AB170" s="142"/>
      <c r="AC170" s="142"/>
      <c r="AD170" s="142"/>
      <c r="AE170" s="63"/>
      <c r="AF170" s="63"/>
      <c r="AG170" s="63"/>
    </row>
    <row r="171" spans="1:33" x14ac:dyDescent="0.35">
      <c r="B171" s="71">
        <f t="shared" si="28"/>
        <v>0</v>
      </c>
      <c r="C171" s="72"/>
      <c r="D171" s="140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41"/>
      <c r="Q171" s="99"/>
      <c r="R171" s="88">
        <f t="shared" si="29"/>
        <v>0</v>
      </c>
      <c r="S171" s="78">
        <f t="shared" si="30"/>
        <v>0</v>
      </c>
      <c r="T171" s="78">
        <f t="shared" si="31"/>
        <v>0</v>
      </c>
      <c r="U171" s="78">
        <f t="shared" si="32"/>
        <v>0</v>
      </c>
      <c r="V171" s="79">
        <f t="shared" si="33"/>
        <v>0</v>
      </c>
    </row>
    <row r="172" spans="1:33" x14ac:dyDescent="0.35">
      <c r="A172" s="110"/>
      <c r="B172" s="71">
        <f t="shared" si="28"/>
        <v>0</v>
      </c>
      <c r="C172" s="72"/>
      <c r="D172" s="140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41"/>
      <c r="Q172" s="99"/>
      <c r="R172" s="88">
        <f t="shared" si="29"/>
        <v>0</v>
      </c>
      <c r="S172" s="78">
        <f t="shared" si="30"/>
        <v>0</v>
      </c>
      <c r="T172" s="78">
        <f t="shared" si="31"/>
        <v>0</v>
      </c>
      <c r="U172" s="78">
        <f t="shared" si="32"/>
        <v>0</v>
      </c>
      <c r="V172" s="79">
        <f t="shared" si="33"/>
        <v>0</v>
      </c>
    </row>
    <row r="173" spans="1:33" x14ac:dyDescent="0.35">
      <c r="B173" s="71">
        <f t="shared" si="28"/>
        <v>0</v>
      </c>
      <c r="C173" s="72"/>
      <c r="D173" s="140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41"/>
      <c r="Q173" s="99"/>
      <c r="R173" s="88">
        <f t="shared" si="29"/>
        <v>0</v>
      </c>
      <c r="S173" s="78">
        <f t="shared" si="30"/>
        <v>0</v>
      </c>
      <c r="T173" s="78">
        <f t="shared" si="31"/>
        <v>0</v>
      </c>
      <c r="U173" s="78">
        <f t="shared" si="32"/>
        <v>0</v>
      </c>
      <c r="V173" s="79">
        <f t="shared" si="33"/>
        <v>0</v>
      </c>
    </row>
    <row r="174" spans="1:33" x14ac:dyDescent="0.35">
      <c r="B174" s="71">
        <f t="shared" si="28"/>
        <v>0</v>
      </c>
      <c r="C174" s="72"/>
      <c r="D174" s="140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41"/>
      <c r="Q174" s="99"/>
      <c r="R174" s="88">
        <f t="shared" si="29"/>
        <v>0</v>
      </c>
      <c r="S174" s="78">
        <f t="shared" si="30"/>
        <v>0</v>
      </c>
      <c r="T174" s="78">
        <f t="shared" si="31"/>
        <v>0</v>
      </c>
      <c r="U174" s="78">
        <f t="shared" si="32"/>
        <v>0</v>
      </c>
      <c r="V174" s="79">
        <f t="shared" si="33"/>
        <v>0</v>
      </c>
      <c r="W174" s="65"/>
      <c r="AE174" s="65"/>
      <c r="AF174" s="65"/>
      <c r="AG174" s="65"/>
    </row>
    <row r="175" spans="1:33" s="65" customFormat="1" x14ac:dyDescent="0.35">
      <c r="B175" s="71">
        <f t="shared" si="28"/>
        <v>0</v>
      </c>
      <c r="C175" s="72"/>
      <c r="D175" s="140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41"/>
      <c r="Q175" s="101"/>
      <c r="R175" s="88">
        <f t="shared" si="29"/>
        <v>0</v>
      </c>
      <c r="S175" s="78">
        <f t="shared" si="30"/>
        <v>0</v>
      </c>
      <c r="T175" s="78">
        <f t="shared" si="31"/>
        <v>0</v>
      </c>
      <c r="U175" s="78">
        <f t="shared" si="32"/>
        <v>0</v>
      </c>
      <c r="V175" s="79">
        <f t="shared" si="33"/>
        <v>0</v>
      </c>
      <c r="W175" s="63"/>
      <c r="Z175" s="142"/>
      <c r="AA175" s="142"/>
      <c r="AB175" s="142"/>
      <c r="AC175" s="142"/>
      <c r="AD175" s="142"/>
      <c r="AE175" s="63"/>
      <c r="AF175" s="63"/>
      <c r="AG175" s="63"/>
    </row>
    <row r="176" spans="1:33" x14ac:dyDescent="0.35">
      <c r="B176" s="71">
        <f t="shared" si="28"/>
        <v>0</v>
      </c>
      <c r="C176" s="72"/>
      <c r="D176" s="140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41"/>
      <c r="Q176" s="99"/>
      <c r="R176" s="88">
        <f t="shared" si="29"/>
        <v>0</v>
      </c>
      <c r="S176" s="78">
        <f t="shared" si="30"/>
        <v>0</v>
      </c>
      <c r="T176" s="78">
        <f t="shared" si="31"/>
        <v>0</v>
      </c>
      <c r="U176" s="78">
        <f t="shared" si="32"/>
        <v>0</v>
      </c>
      <c r="V176" s="79">
        <f t="shared" si="33"/>
        <v>0</v>
      </c>
      <c r="W176" s="65"/>
      <c r="AE176" s="65"/>
      <c r="AF176" s="65"/>
      <c r="AG176" s="65"/>
    </row>
    <row r="177" spans="1:33" s="65" customFormat="1" x14ac:dyDescent="0.35">
      <c r="B177" s="71">
        <f t="shared" si="28"/>
        <v>0</v>
      </c>
      <c r="C177" s="72"/>
      <c r="D177" s="140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41"/>
      <c r="Q177" s="101"/>
      <c r="R177" s="88">
        <f t="shared" si="29"/>
        <v>0</v>
      </c>
      <c r="S177" s="78">
        <f t="shared" si="30"/>
        <v>0</v>
      </c>
      <c r="T177" s="78">
        <f t="shared" si="31"/>
        <v>0</v>
      </c>
      <c r="U177" s="78">
        <f t="shared" si="32"/>
        <v>0</v>
      </c>
      <c r="V177" s="79">
        <f t="shared" si="33"/>
        <v>0</v>
      </c>
      <c r="W177" s="63"/>
      <c r="Z177" s="142"/>
      <c r="AA177" s="142"/>
      <c r="AB177" s="142"/>
      <c r="AC177" s="142"/>
      <c r="AD177" s="142"/>
      <c r="AE177" s="63"/>
      <c r="AF177" s="63"/>
      <c r="AG177" s="63"/>
    </row>
    <row r="178" spans="1:33" x14ac:dyDescent="0.35">
      <c r="B178" s="71">
        <f t="shared" si="28"/>
        <v>0</v>
      </c>
      <c r="C178" s="72"/>
      <c r="D178" s="140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41"/>
      <c r="Q178" s="99"/>
      <c r="R178" s="88">
        <f t="shared" si="29"/>
        <v>0</v>
      </c>
      <c r="S178" s="78">
        <f t="shared" si="30"/>
        <v>0</v>
      </c>
      <c r="T178" s="78">
        <f t="shared" si="31"/>
        <v>0</v>
      </c>
      <c r="U178" s="78">
        <f t="shared" si="32"/>
        <v>0</v>
      </c>
      <c r="V178" s="79">
        <f t="shared" si="33"/>
        <v>0</v>
      </c>
    </row>
    <row r="179" spans="1:33" x14ac:dyDescent="0.35">
      <c r="B179" s="71">
        <f t="shared" si="28"/>
        <v>0</v>
      </c>
      <c r="C179" s="72"/>
      <c r="D179" s="140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41"/>
      <c r="Q179" s="99"/>
      <c r="R179" s="88">
        <f t="shared" si="29"/>
        <v>0</v>
      </c>
      <c r="S179" s="78">
        <f t="shared" si="30"/>
        <v>0</v>
      </c>
      <c r="T179" s="78">
        <f t="shared" si="31"/>
        <v>0</v>
      </c>
      <c r="U179" s="78">
        <f t="shared" si="32"/>
        <v>0</v>
      </c>
      <c r="V179" s="79">
        <f t="shared" si="33"/>
        <v>0</v>
      </c>
    </row>
    <row r="180" spans="1:33" x14ac:dyDescent="0.35">
      <c r="B180" s="71">
        <f t="shared" si="28"/>
        <v>0</v>
      </c>
      <c r="C180" s="72"/>
      <c r="D180" s="140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41"/>
      <c r="Q180" s="101"/>
      <c r="R180" s="88">
        <f t="shared" si="29"/>
        <v>0</v>
      </c>
      <c r="S180" s="78">
        <f t="shared" si="30"/>
        <v>0</v>
      </c>
      <c r="T180" s="78">
        <f t="shared" si="31"/>
        <v>0</v>
      </c>
      <c r="U180" s="78">
        <f t="shared" si="32"/>
        <v>0</v>
      </c>
      <c r="V180" s="79">
        <f t="shared" si="33"/>
        <v>0</v>
      </c>
    </row>
    <row r="181" spans="1:33" x14ac:dyDescent="0.35">
      <c r="B181" s="71">
        <f t="shared" si="28"/>
        <v>0</v>
      </c>
      <c r="C181" s="72"/>
      <c r="D181" s="140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41"/>
      <c r="Q181" s="109"/>
      <c r="R181" s="88">
        <f t="shared" si="29"/>
        <v>0</v>
      </c>
      <c r="S181" s="78">
        <f t="shared" si="30"/>
        <v>0</v>
      </c>
      <c r="T181" s="78">
        <f t="shared" si="31"/>
        <v>0</v>
      </c>
      <c r="U181" s="78">
        <f t="shared" si="32"/>
        <v>0</v>
      </c>
      <c r="V181" s="79">
        <f t="shared" si="33"/>
        <v>0</v>
      </c>
    </row>
    <row r="182" spans="1:33" x14ac:dyDescent="0.35">
      <c r="B182" s="71">
        <f t="shared" si="28"/>
        <v>0</v>
      </c>
      <c r="C182" s="72"/>
      <c r="D182" s="140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41"/>
      <c r="Q182" s="87"/>
      <c r="R182" s="88">
        <f t="shared" si="29"/>
        <v>0</v>
      </c>
      <c r="S182" s="78">
        <f t="shared" si="30"/>
        <v>0</v>
      </c>
      <c r="T182" s="78">
        <f t="shared" si="31"/>
        <v>0</v>
      </c>
      <c r="U182" s="78">
        <f t="shared" si="32"/>
        <v>0</v>
      </c>
      <c r="V182" s="79">
        <f t="shared" si="33"/>
        <v>0</v>
      </c>
      <c r="W182" s="65"/>
      <c r="AE182" s="65"/>
      <c r="AF182" s="65"/>
      <c r="AG182" s="65"/>
    </row>
    <row r="183" spans="1:33" s="65" customFormat="1" x14ac:dyDescent="0.35">
      <c r="B183" s="71">
        <f t="shared" si="28"/>
        <v>0</v>
      </c>
      <c r="C183" s="72"/>
      <c r="D183" s="140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41"/>
      <c r="Q183" s="101"/>
      <c r="R183" s="88">
        <f t="shared" si="29"/>
        <v>0</v>
      </c>
      <c r="S183" s="78">
        <f t="shared" si="30"/>
        <v>0</v>
      </c>
      <c r="T183" s="78">
        <f t="shared" si="31"/>
        <v>0</v>
      </c>
      <c r="U183" s="78">
        <f t="shared" si="32"/>
        <v>0</v>
      </c>
      <c r="V183" s="79">
        <f t="shared" si="33"/>
        <v>0</v>
      </c>
      <c r="W183" s="63"/>
      <c r="Z183" s="142"/>
      <c r="AA183" s="142"/>
      <c r="AB183" s="142"/>
      <c r="AC183" s="142"/>
      <c r="AD183" s="142"/>
      <c r="AE183" s="63"/>
      <c r="AF183" s="63"/>
      <c r="AG183" s="63"/>
    </row>
    <row r="184" spans="1:33" x14ac:dyDescent="0.35">
      <c r="B184" s="71">
        <f t="shared" si="28"/>
        <v>0</v>
      </c>
      <c r="C184" s="72"/>
      <c r="D184" s="140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41"/>
      <c r="Q184" s="99"/>
      <c r="R184" s="88">
        <f t="shared" si="29"/>
        <v>0</v>
      </c>
      <c r="S184" s="78">
        <f t="shared" si="30"/>
        <v>0</v>
      </c>
      <c r="T184" s="78">
        <f t="shared" si="31"/>
        <v>0</v>
      </c>
      <c r="U184" s="78">
        <f t="shared" si="32"/>
        <v>0</v>
      </c>
      <c r="V184" s="79">
        <f t="shared" si="33"/>
        <v>0</v>
      </c>
    </row>
    <row r="185" spans="1:33" x14ac:dyDescent="0.35">
      <c r="A185" s="98"/>
      <c r="B185" s="71">
        <f t="shared" si="28"/>
        <v>0</v>
      </c>
      <c r="C185" s="72"/>
      <c r="D185" s="140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41"/>
      <c r="Q185" s="99"/>
      <c r="R185" s="88">
        <f t="shared" si="29"/>
        <v>0</v>
      </c>
      <c r="S185" s="78">
        <f t="shared" si="30"/>
        <v>0</v>
      </c>
      <c r="T185" s="78">
        <f t="shared" si="31"/>
        <v>0</v>
      </c>
      <c r="U185" s="78">
        <f t="shared" si="32"/>
        <v>0</v>
      </c>
      <c r="V185" s="79">
        <f t="shared" si="33"/>
        <v>0</v>
      </c>
    </row>
    <row r="186" spans="1:33" x14ac:dyDescent="0.35">
      <c r="B186" s="71">
        <f t="shared" si="28"/>
        <v>0</v>
      </c>
      <c r="C186" s="72"/>
      <c r="D186" s="140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41"/>
      <c r="Q186" s="99"/>
      <c r="R186" s="88">
        <f t="shared" si="29"/>
        <v>0</v>
      </c>
      <c r="S186" s="78">
        <f t="shared" si="30"/>
        <v>0</v>
      </c>
      <c r="T186" s="78">
        <f t="shared" si="31"/>
        <v>0</v>
      </c>
      <c r="U186" s="78">
        <f t="shared" si="32"/>
        <v>0</v>
      </c>
      <c r="V186" s="79">
        <f t="shared" si="33"/>
        <v>0</v>
      </c>
    </row>
    <row r="187" spans="1:33" x14ac:dyDescent="0.35">
      <c r="B187" s="71">
        <f t="shared" si="28"/>
        <v>0</v>
      </c>
      <c r="C187" s="72"/>
      <c r="D187" s="140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41"/>
      <c r="Q187" s="99"/>
      <c r="R187" s="88">
        <f t="shared" si="29"/>
        <v>0</v>
      </c>
      <c r="S187" s="78">
        <f t="shared" si="30"/>
        <v>0</v>
      </c>
      <c r="T187" s="78">
        <f t="shared" si="31"/>
        <v>0</v>
      </c>
      <c r="U187" s="78">
        <f t="shared" si="32"/>
        <v>0</v>
      </c>
      <c r="V187" s="79">
        <f t="shared" si="33"/>
        <v>0</v>
      </c>
    </row>
    <row r="188" spans="1:33" x14ac:dyDescent="0.35">
      <c r="B188" s="71">
        <f t="shared" si="28"/>
        <v>0</v>
      </c>
      <c r="C188" s="72"/>
      <c r="D188" s="140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41"/>
      <c r="Q188" s="99"/>
      <c r="R188" s="88">
        <f t="shared" si="29"/>
        <v>0</v>
      </c>
      <c r="S188" s="78">
        <f t="shared" si="30"/>
        <v>0</v>
      </c>
      <c r="T188" s="78">
        <f t="shared" si="31"/>
        <v>0</v>
      </c>
      <c r="U188" s="78">
        <f t="shared" si="32"/>
        <v>0</v>
      </c>
      <c r="V188" s="79">
        <f t="shared" si="33"/>
        <v>0</v>
      </c>
    </row>
    <row r="189" spans="1:33" x14ac:dyDescent="0.35">
      <c r="B189" s="71">
        <f t="shared" si="28"/>
        <v>0</v>
      </c>
      <c r="C189" s="72"/>
      <c r="D189" s="140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41"/>
      <c r="Q189" s="99"/>
      <c r="R189" s="88">
        <f t="shared" si="29"/>
        <v>0</v>
      </c>
      <c r="S189" s="78">
        <f t="shared" si="30"/>
        <v>0</v>
      </c>
      <c r="T189" s="78">
        <f t="shared" si="31"/>
        <v>0</v>
      </c>
      <c r="U189" s="78">
        <f t="shared" si="32"/>
        <v>0</v>
      </c>
      <c r="V189" s="79">
        <f t="shared" si="33"/>
        <v>0</v>
      </c>
    </row>
    <row r="190" spans="1:33" x14ac:dyDescent="0.35">
      <c r="B190" s="71">
        <f t="shared" si="28"/>
        <v>0</v>
      </c>
      <c r="C190" s="72"/>
      <c r="D190" s="140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41"/>
      <c r="Q190" s="99"/>
      <c r="R190" s="88">
        <f t="shared" si="29"/>
        <v>0</v>
      </c>
      <c r="S190" s="78">
        <f t="shared" si="30"/>
        <v>0</v>
      </c>
      <c r="T190" s="78">
        <f t="shared" si="31"/>
        <v>0</v>
      </c>
      <c r="U190" s="78">
        <f t="shared" si="32"/>
        <v>0</v>
      </c>
      <c r="V190" s="79">
        <f t="shared" si="33"/>
        <v>0</v>
      </c>
    </row>
    <row r="191" spans="1:33" x14ac:dyDescent="0.35">
      <c r="B191" s="71">
        <f t="shared" si="28"/>
        <v>0</v>
      </c>
      <c r="C191" s="72"/>
      <c r="D191" s="140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41"/>
      <c r="Q191" s="99"/>
      <c r="R191" s="88">
        <f t="shared" si="29"/>
        <v>0</v>
      </c>
      <c r="S191" s="78">
        <f t="shared" si="30"/>
        <v>0</v>
      </c>
      <c r="T191" s="78">
        <f t="shared" si="31"/>
        <v>0</v>
      </c>
      <c r="U191" s="78">
        <f t="shared" si="32"/>
        <v>0</v>
      </c>
      <c r="V191" s="79">
        <f t="shared" si="33"/>
        <v>0</v>
      </c>
    </row>
    <row r="192" spans="1:33" x14ac:dyDescent="0.35">
      <c r="B192" s="71">
        <f t="shared" si="28"/>
        <v>0</v>
      </c>
      <c r="C192" s="72"/>
      <c r="D192" s="140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41"/>
      <c r="Q192" s="99"/>
      <c r="R192" s="88">
        <f t="shared" si="29"/>
        <v>0</v>
      </c>
      <c r="S192" s="78">
        <f t="shared" si="30"/>
        <v>0</v>
      </c>
      <c r="T192" s="78">
        <f t="shared" si="31"/>
        <v>0</v>
      </c>
      <c r="U192" s="78">
        <f t="shared" si="32"/>
        <v>0</v>
      </c>
      <c r="V192" s="79">
        <f t="shared" si="33"/>
        <v>0</v>
      </c>
    </row>
    <row r="193" spans="2:22" x14ac:dyDescent="0.35">
      <c r="B193" s="71">
        <f t="shared" si="28"/>
        <v>0</v>
      </c>
      <c r="C193" s="72"/>
      <c r="D193" s="140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41"/>
      <c r="Q193" s="99"/>
      <c r="R193" s="88">
        <f t="shared" si="29"/>
        <v>0</v>
      </c>
      <c r="S193" s="78">
        <f t="shared" si="30"/>
        <v>0</v>
      </c>
      <c r="T193" s="78">
        <f t="shared" si="31"/>
        <v>0</v>
      </c>
      <c r="U193" s="78">
        <f t="shared" si="32"/>
        <v>0</v>
      </c>
      <c r="V193" s="79">
        <f t="shared" si="33"/>
        <v>0</v>
      </c>
    </row>
    <row r="194" spans="2:22" x14ac:dyDescent="0.35">
      <c r="B194" s="71">
        <f t="shared" si="28"/>
        <v>0</v>
      </c>
      <c r="C194" s="72"/>
      <c r="D194" s="140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41"/>
      <c r="Q194" s="99"/>
      <c r="R194" s="88">
        <f t="shared" si="29"/>
        <v>0</v>
      </c>
      <c r="S194" s="78">
        <f t="shared" si="30"/>
        <v>0</v>
      </c>
      <c r="T194" s="78">
        <f t="shared" si="31"/>
        <v>0</v>
      </c>
      <c r="U194" s="78">
        <f t="shared" si="32"/>
        <v>0</v>
      </c>
      <c r="V194" s="79">
        <f t="shared" si="33"/>
        <v>0</v>
      </c>
    </row>
    <row r="195" spans="2:22" x14ac:dyDescent="0.35">
      <c r="B195" s="71">
        <f t="shared" si="28"/>
        <v>0</v>
      </c>
      <c r="C195" s="72"/>
      <c r="D195" s="140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41"/>
      <c r="Q195" s="99"/>
      <c r="R195" s="88">
        <f t="shared" si="29"/>
        <v>0</v>
      </c>
      <c r="S195" s="78">
        <f t="shared" si="30"/>
        <v>0</v>
      </c>
      <c r="T195" s="78">
        <f t="shared" si="31"/>
        <v>0</v>
      </c>
      <c r="U195" s="78">
        <f t="shared" si="32"/>
        <v>0</v>
      </c>
      <c r="V195" s="79">
        <f t="shared" si="33"/>
        <v>0</v>
      </c>
    </row>
    <row r="196" spans="2:22" x14ac:dyDescent="0.35">
      <c r="B196" s="71">
        <f t="shared" si="28"/>
        <v>0</v>
      </c>
      <c r="C196" s="72"/>
      <c r="D196" s="140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41"/>
      <c r="Q196" s="99"/>
      <c r="R196" s="88">
        <f t="shared" si="29"/>
        <v>0</v>
      </c>
      <c r="S196" s="78">
        <f t="shared" si="30"/>
        <v>0</v>
      </c>
      <c r="T196" s="78">
        <f t="shared" si="31"/>
        <v>0</v>
      </c>
      <c r="U196" s="78">
        <f t="shared" si="32"/>
        <v>0</v>
      </c>
      <c r="V196" s="79">
        <f t="shared" si="33"/>
        <v>0</v>
      </c>
    </row>
    <row r="197" spans="2:22" x14ac:dyDescent="0.35">
      <c r="B197" s="71">
        <f t="shared" si="28"/>
        <v>0</v>
      </c>
      <c r="C197" s="72"/>
      <c r="D197" s="140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41"/>
      <c r="Q197" s="99"/>
      <c r="R197" s="88">
        <f t="shared" si="29"/>
        <v>0</v>
      </c>
      <c r="S197" s="78">
        <f t="shared" si="30"/>
        <v>0</v>
      </c>
      <c r="T197" s="78">
        <f t="shared" si="31"/>
        <v>0</v>
      </c>
      <c r="U197" s="78">
        <f t="shared" si="32"/>
        <v>0</v>
      </c>
      <c r="V197" s="79">
        <f t="shared" si="33"/>
        <v>0</v>
      </c>
    </row>
    <row r="198" spans="2:22" x14ac:dyDescent="0.35">
      <c r="B198" s="71">
        <f t="shared" si="28"/>
        <v>0</v>
      </c>
      <c r="C198" s="72"/>
      <c r="D198" s="140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41"/>
      <c r="Q198" s="101"/>
      <c r="R198" s="88">
        <f t="shared" si="29"/>
        <v>0</v>
      </c>
      <c r="S198" s="78">
        <f t="shared" si="30"/>
        <v>0</v>
      </c>
      <c r="T198" s="78">
        <f t="shared" si="31"/>
        <v>0</v>
      </c>
      <c r="U198" s="78">
        <f t="shared" si="32"/>
        <v>0</v>
      </c>
      <c r="V198" s="79">
        <f t="shared" si="33"/>
        <v>0</v>
      </c>
    </row>
    <row r="199" spans="2:22" x14ac:dyDescent="0.35">
      <c r="B199" s="71">
        <f t="shared" si="28"/>
        <v>0</v>
      </c>
      <c r="C199" s="72"/>
      <c r="D199" s="140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41"/>
      <c r="Q199" s="109"/>
      <c r="R199" s="88">
        <f t="shared" si="29"/>
        <v>0</v>
      </c>
      <c r="S199" s="78">
        <f t="shared" si="30"/>
        <v>0</v>
      </c>
      <c r="T199" s="78">
        <f t="shared" si="31"/>
        <v>0</v>
      </c>
      <c r="U199" s="78">
        <f t="shared" si="32"/>
        <v>0</v>
      </c>
      <c r="V199" s="79">
        <f t="shared" si="33"/>
        <v>0</v>
      </c>
    </row>
    <row r="200" spans="2:22" x14ac:dyDescent="0.35">
      <c r="B200" s="71">
        <f t="shared" si="28"/>
        <v>0</v>
      </c>
      <c r="C200" s="72"/>
      <c r="D200" s="140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41"/>
      <c r="Q200" s="87"/>
      <c r="R200" s="88">
        <f t="shared" si="29"/>
        <v>0</v>
      </c>
      <c r="S200" s="78">
        <f t="shared" si="30"/>
        <v>0</v>
      </c>
      <c r="T200" s="78">
        <f t="shared" si="31"/>
        <v>0</v>
      </c>
      <c r="U200" s="78">
        <f t="shared" si="32"/>
        <v>0</v>
      </c>
      <c r="V200" s="79">
        <f t="shared" si="33"/>
        <v>0</v>
      </c>
    </row>
    <row r="201" spans="2:22" x14ac:dyDescent="0.35">
      <c r="B201" s="71">
        <f t="shared" ref="B201:B264" si="34">SUM(E201:P201)</f>
        <v>0</v>
      </c>
      <c r="C201" s="72"/>
      <c r="D201" s="140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41"/>
      <c r="Q201" s="99"/>
      <c r="R201" s="88">
        <f t="shared" si="29"/>
        <v>0</v>
      </c>
      <c r="S201" s="78">
        <f t="shared" si="30"/>
        <v>0</v>
      </c>
      <c r="T201" s="78">
        <f t="shared" si="31"/>
        <v>0</v>
      </c>
      <c r="U201" s="78">
        <f t="shared" si="32"/>
        <v>0</v>
      </c>
      <c r="V201" s="79">
        <f t="shared" si="33"/>
        <v>0</v>
      </c>
    </row>
    <row r="202" spans="2:22" x14ac:dyDescent="0.35">
      <c r="B202" s="71">
        <f t="shared" si="34"/>
        <v>0</v>
      </c>
      <c r="C202" s="72"/>
      <c r="D202" s="140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41"/>
      <c r="Q202" s="99"/>
      <c r="R202" s="88">
        <f t="shared" si="29"/>
        <v>0</v>
      </c>
      <c r="S202" s="78">
        <f t="shared" si="30"/>
        <v>0</v>
      </c>
      <c r="T202" s="78">
        <f t="shared" si="31"/>
        <v>0</v>
      </c>
      <c r="U202" s="78">
        <f t="shared" si="32"/>
        <v>0</v>
      </c>
      <c r="V202" s="79">
        <f t="shared" si="33"/>
        <v>0</v>
      </c>
    </row>
    <row r="203" spans="2:22" x14ac:dyDescent="0.35">
      <c r="B203" s="71">
        <f t="shared" si="34"/>
        <v>0</v>
      </c>
      <c r="C203" s="72"/>
      <c r="D203" s="140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41"/>
      <c r="Q203" s="101"/>
      <c r="R203" s="88">
        <f t="shared" ref="R203:R266" si="35">SUM(E203:P203)</f>
        <v>0</v>
      </c>
      <c r="S203" s="78">
        <f t="shared" ref="S203:S266" si="36">SUM(H203:P203)/9*12</f>
        <v>0</v>
      </c>
      <c r="T203" s="78">
        <f t="shared" ref="T203:T266" si="37">SUM(K203:P203)*2</f>
        <v>0</v>
      </c>
      <c r="U203" s="78">
        <f t="shared" ref="U203:U266" si="38">SUM(N203:P203)*4</f>
        <v>0</v>
      </c>
      <c r="V203" s="79">
        <f t="shared" ref="V203:V266" si="39">SUM(P203)*12</f>
        <v>0</v>
      </c>
    </row>
    <row r="204" spans="2:22" x14ac:dyDescent="0.35">
      <c r="B204" s="71">
        <f t="shared" si="34"/>
        <v>0</v>
      </c>
      <c r="C204" s="72"/>
      <c r="D204" s="140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41"/>
      <c r="Q204" s="109"/>
      <c r="R204" s="88">
        <f t="shared" si="35"/>
        <v>0</v>
      </c>
      <c r="S204" s="78">
        <f t="shared" si="36"/>
        <v>0</v>
      </c>
      <c r="T204" s="78">
        <f t="shared" si="37"/>
        <v>0</v>
      </c>
      <c r="U204" s="78">
        <f t="shared" si="38"/>
        <v>0</v>
      </c>
      <c r="V204" s="79">
        <f t="shared" si="39"/>
        <v>0</v>
      </c>
    </row>
    <row r="205" spans="2:22" x14ac:dyDescent="0.35">
      <c r="B205" s="71">
        <f t="shared" si="34"/>
        <v>0</v>
      </c>
      <c r="C205" s="72"/>
      <c r="D205" s="140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41"/>
      <c r="Q205" s="87"/>
      <c r="R205" s="88">
        <f t="shared" si="35"/>
        <v>0</v>
      </c>
      <c r="S205" s="78">
        <f t="shared" si="36"/>
        <v>0</v>
      </c>
      <c r="T205" s="78">
        <f t="shared" si="37"/>
        <v>0</v>
      </c>
      <c r="U205" s="78">
        <f t="shared" si="38"/>
        <v>0</v>
      </c>
      <c r="V205" s="79">
        <f t="shared" si="39"/>
        <v>0</v>
      </c>
    </row>
    <row r="206" spans="2:22" x14ac:dyDescent="0.35">
      <c r="B206" s="71">
        <f t="shared" si="34"/>
        <v>0</v>
      </c>
      <c r="C206" s="72"/>
      <c r="D206" s="140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41"/>
      <c r="Q206" s="99"/>
      <c r="R206" s="88">
        <f t="shared" si="35"/>
        <v>0</v>
      </c>
      <c r="S206" s="78">
        <f t="shared" si="36"/>
        <v>0</v>
      </c>
      <c r="T206" s="78">
        <f t="shared" si="37"/>
        <v>0</v>
      </c>
      <c r="U206" s="78">
        <f t="shared" si="38"/>
        <v>0</v>
      </c>
      <c r="V206" s="79">
        <f t="shared" si="39"/>
        <v>0</v>
      </c>
    </row>
    <row r="207" spans="2:22" x14ac:dyDescent="0.35">
      <c r="B207" s="71">
        <f t="shared" si="34"/>
        <v>0</v>
      </c>
      <c r="C207" s="72"/>
      <c r="D207" s="140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41"/>
      <c r="Q207" s="101"/>
      <c r="R207" s="88">
        <f t="shared" si="35"/>
        <v>0</v>
      </c>
      <c r="S207" s="78">
        <f t="shared" si="36"/>
        <v>0</v>
      </c>
      <c r="T207" s="78">
        <f t="shared" si="37"/>
        <v>0</v>
      </c>
      <c r="U207" s="78">
        <f t="shared" si="38"/>
        <v>0</v>
      </c>
      <c r="V207" s="79">
        <f t="shared" si="39"/>
        <v>0</v>
      </c>
    </row>
    <row r="208" spans="2:22" x14ac:dyDescent="0.35">
      <c r="B208" s="71">
        <f t="shared" si="34"/>
        <v>0</v>
      </c>
      <c r="C208" s="72"/>
      <c r="D208" s="140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41"/>
      <c r="Q208" s="109"/>
      <c r="R208" s="88">
        <f t="shared" si="35"/>
        <v>0</v>
      </c>
      <c r="S208" s="78">
        <f t="shared" si="36"/>
        <v>0</v>
      </c>
      <c r="T208" s="78">
        <f t="shared" si="37"/>
        <v>0</v>
      </c>
      <c r="U208" s="78">
        <f t="shared" si="38"/>
        <v>0</v>
      </c>
      <c r="V208" s="79">
        <f t="shared" si="39"/>
        <v>0</v>
      </c>
    </row>
    <row r="209" spans="2:22" x14ac:dyDescent="0.35">
      <c r="B209" s="71">
        <f t="shared" si="34"/>
        <v>0</v>
      </c>
      <c r="C209" s="72"/>
      <c r="D209" s="140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41"/>
      <c r="Q209" s="87"/>
      <c r="R209" s="88">
        <f t="shared" si="35"/>
        <v>0</v>
      </c>
      <c r="S209" s="78">
        <f t="shared" si="36"/>
        <v>0</v>
      </c>
      <c r="T209" s="78">
        <f t="shared" si="37"/>
        <v>0</v>
      </c>
      <c r="U209" s="78">
        <f t="shared" si="38"/>
        <v>0</v>
      </c>
      <c r="V209" s="79">
        <f t="shared" si="39"/>
        <v>0</v>
      </c>
    </row>
    <row r="210" spans="2:22" x14ac:dyDescent="0.35">
      <c r="B210" s="71">
        <f t="shared" si="34"/>
        <v>0</v>
      </c>
      <c r="C210" s="72"/>
      <c r="D210" s="140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41"/>
      <c r="Q210" s="99"/>
      <c r="R210" s="88">
        <f t="shared" si="35"/>
        <v>0</v>
      </c>
      <c r="S210" s="78">
        <f t="shared" si="36"/>
        <v>0</v>
      </c>
      <c r="T210" s="78">
        <f t="shared" si="37"/>
        <v>0</v>
      </c>
      <c r="U210" s="78">
        <f t="shared" si="38"/>
        <v>0</v>
      </c>
      <c r="V210" s="79">
        <f t="shared" si="39"/>
        <v>0</v>
      </c>
    </row>
    <row r="211" spans="2:22" x14ac:dyDescent="0.35">
      <c r="B211" s="71">
        <f t="shared" si="34"/>
        <v>0</v>
      </c>
      <c r="C211" s="72"/>
      <c r="D211" s="140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41"/>
      <c r="Q211" s="99"/>
      <c r="R211" s="88">
        <f t="shared" si="35"/>
        <v>0</v>
      </c>
      <c r="S211" s="78">
        <f t="shared" si="36"/>
        <v>0</v>
      </c>
      <c r="T211" s="78">
        <f t="shared" si="37"/>
        <v>0</v>
      </c>
      <c r="U211" s="78">
        <f t="shared" si="38"/>
        <v>0</v>
      </c>
      <c r="V211" s="79">
        <f t="shared" si="39"/>
        <v>0</v>
      </c>
    </row>
    <row r="212" spans="2:22" x14ac:dyDescent="0.35">
      <c r="B212" s="71">
        <f t="shared" si="34"/>
        <v>0</v>
      </c>
      <c r="C212" s="72"/>
      <c r="D212" s="140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41"/>
      <c r="Q212" s="101"/>
      <c r="R212" s="88">
        <f t="shared" si="35"/>
        <v>0</v>
      </c>
      <c r="S212" s="78">
        <f t="shared" si="36"/>
        <v>0</v>
      </c>
      <c r="T212" s="78">
        <f t="shared" si="37"/>
        <v>0</v>
      </c>
      <c r="U212" s="78">
        <f t="shared" si="38"/>
        <v>0</v>
      </c>
      <c r="V212" s="79">
        <f t="shared" si="39"/>
        <v>0</v>
      </c>
    </row>
    <row r="213" spans="2:22" x14ac:dyDescent="0.35">
      <c r="B213" s="71">
        <f t="shared" si="34"/>
        <v>0</v>
      </c>
      <c r="C213" s="72"/>
      <c r="D213" s="140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41"/>
      <c r="Q213" s="109"/>
      <c r="R213" s="88">
        <f t="shared" si="35"/>
        <v>0</v>
      </c>
      <c r="S213" s="78">
        <f t="shared" si="36"/>
        <v>0</v>
      </c>
      <c r="T213" s="78">
        <f t="shared" si="37"/>
        <v>0</v>
      </c>
      <c r="U213" s="78">
        <f t="shared" si="38"/>
        <v>0</v>
      </c>
      <c r="V213" s="79">
        <f t="shared" si="39"/>
        <v>0</v>
      </c>
    </row>
    <row r="214" spans="2:22" x14ac:dyDescent="0.35">
      <c r="B214" s="71">
        <f t="shared" si="34"/>
        <v>0</v>
      </c>
      <c r="C214" s="72"/>
      <c r="D214" s="140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41"/>
      <c r="Q214" s="87"/>
      <c r="R214" s="88">
        <f t="shared" si="35"/>
        <v>0</v>
      </c>
      <c r="S214" s="78">
        <f t="shared" si="36"/>
        <v>0</v>
      </c>
      <c r="T214" s="78">
        <f t="shared" si="37"/>
        <v>0</v>
      </c>
      <c r="U214" s="78">
        <f t="shared" si="38"/>
        <v>0</v>
      </c>
      <c r="V214" s="79">
        <f t="shared" si="39"/>
        <v>0</v>
      </c>
    </row>
    <row r="215" spans="2:22" x14ac:dyDescent="0.35">
      <c r="B215" s="71">
        <f t="shared" si="34"/>
        <v>0</v>
      </c>
      <c r="C215" s="72"/>
      <c r="D215" s="140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41"/>
      <c r="Q215" s="99"/>
      <c r="R215" s="88">
        <f t="shared" si="35"/>
        <v>0</v>
      </c>
      <c r="S215" s="78">
        <f t="shared" si="36"/>
        <v>0</v>
      </c>
      <c r="T215" s="78">
        <f t="shared" si="37"/>
        <v>0</v>
      </c>
      <c r="U215" s="78">
        <f t="shared" si="38"/>
        <v>0</v>
      </c>
      <c r="V215" s="79">
        <f t="shared" si="39"/>
        <v>0</v>
      </c>
    </row>
    <row r="216" spans="2:22" x14ac:dyDescent="0.35">
      <c r="B216" s="71">
        <f t="shared" si="34"/>
        <v>0</v>
      </c>
      <c r="C216" s="72"/>
      <c r="D216" s="140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41"/>
      <c r="Q216" s="101"/>
      <c r="R216" s="88">
        <f t="shared" si="35"/>
        <v>0</v>
      </c>
      <c r="S216" s="78">
        <f t="shared" si="36"/>
        <v>0</v>
      </c>
      <c r="T216" s="78">
        <f t="shared" si="37"/>
        <v>0</v>
      </c>
      <c r="U216" s="78">
        <f t="shared" si="38"/>
        <v>0</v>
      </c>
      <c r="V216" s="79">
        <f t="shared" si="39"/>
        <v>0</v>
      </c>
    </row>
    <row r="217" spans="2:22" x14ac:dyDescent="0.35">
      <c r="B217" s="71">
        <f t="shared" si="34"/>
        <v>0</v>
      </c>
      <c r="C217" s="72"/>
      <c r="D217" s="140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41"/>
      <c r="Q217" s="101"/>
      <c r="R217" s="88">
        <f t="shared" si="35"/>
        <v>0</v>
      </c>
      <c r="S217" s="78">
        <f t="shared" si="36"/>
        <v>0</v>
      </c>
      <c r="T217" s="78">
        <f t="shared" si="37"/>
        <v>0</v>
      </c>
      <c r="U217" s="78">
        <f t="shared" si="38"/>
        <v>0</v>
      </c>
      <c r="V217" s="79">
        <f t="shared" si="39"/>
        <v>0</v>
      </c>
    </row>
    <row r="218" spans="2:22" x14ac:dyDescent="0.35">
      <c r="B218" s="71">
        <f t="shared" si="34"/>
        <v>0</v>
      </c>
      <c r="C218" s="72"/>
      <c r="D218" s="140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41"/>
      <c r="Q218" s="101"/>
      <c r="R218" s="88">
        <f t="shared" si="35"/>
        <v>0</v>
      </c>
      <c r="S218" s="78">
        <f t="shared" si="36"/>
        <v>0</v>
      </c>
      <c r="T218" s="78">
        <f t="shared" si="37"/>
        <v>0</v>
      </c>
      <c r="U218" s="78">
        <f t="shared" si="38"/>
        <v>0</v>
      </c>
      <c r="V218" s="79">
        <f t="shared" si="39"/>
        <v>0</v>
      </c>
    </row>
    <row r="219" spans="2:22" x14ac:dyDescent="0.35">
      <c r="B219" s="71">
        <f t="shared" si="34"/>
        <v>0</v>
      </c>
      <c r="C219" s="72"/>
      <c r="D219" s="140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41"/>
      <c r="Q219" s="109"/>
      <c r="R219" s="88">
        <f t="shared" si="35"/>
        <v>0</v>
      </c>
      <c r="S219" s="78">
        <f t="shared" si="36"/>
        <v>0</v>
      </c>
      <c r="T219" s="78">
        <f t="shared" si="37"/>
        <v>0</v>
      </c>
      <c r="U219" s="78">
        <f t="shared" si="38"/>
        <v>0</v>
      </c>
      <c r="V219" s="79">
        <f t="shared" si="39"/>
        <v>0</v>
      </c>
    </row>
    <row r="220" spans="2:22" x14ac:dyDescent="0.35">
      <c r="B220" s="71">
        <f t="shared" si="34"/>
        <v>0</v>
      </c>
      <c r="C220" s="72"/>
      <c r="D220" s="140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41"/>
      <c r="Q220" s="87"/>
      <c r="R220" s="88">
        <f t="shared" si="35"/>
        <v>0</v>
      </c>
      <c r="S220" s="78">
        <f t="shared" si="36"/>
        <v>0</v>
      </c>
      <c r="T220" s="78">
        <f t="shared" si="37"/>
        <v>0</v>
      </c>
      <c r="U220" s="78">
        <f t="shared" si="38"/>
        <v>0</v>
      </c>
      <c r="V220" s="79">
        <f t="shared" si="39"/>
        <v>0</v>
      </c>
    </row>
    <row r="221" spans="2:22" x14ac:dyDescent="0.35">
      <c r="B221" s="71">
        <f t="shared" si="34"/>
        <v>0</v>
      </c>
      <c r="C221" s="72"/>
      <c r="D221" s="140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41"/>
      <c r="Q221" s="109"/>
      <c r="R221" s="88">
        <f t="shared" si="35"/>
        <v>0</v>
      </c>
      <c r="S221" s="78">
        <f t="shared" si="36"/>
        <v>0</v>
      </c>
      <c r="T221" s="78">
        <f t="shared" si="37"/>
        <v>0</v>
      </c>
      <c r="U221" s="78">
        <f t="shared" si="38"/>
        <v>0</v>
      </c>
      <c r="V221" s="79">
        <f t="shared" si="39"/>
        <v>0</v>
      </c>
    </row>
    <row r="222" spans="2:22" x14ac:dyDescent="0.35">
      <c r="B222" s="71">
        <f t="shared" si="34"/>
        <v>0</v>
      </c>
      <c r="C222" s="72"/>
      <c r="D222" s="140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41"/>
      <c r="Q222" s="87"/>
      <c r="R222" s="88">
        <f t="shared" si="35"/>
        <v>0</v>
      </c>
      <c r="S222" s="78">
        <f t="shared" si="36"/>
        <v>0</v>
      </c>
      <c r="T222" s="78">
        <f t="shared" si="37"/>
        <v>0</v>
      </c>
      <c r="U222" s="78">
        <f t="shared" si="38"/>
        <v>0</v>
      </c>
      <c r="V222" s="79">
        <f t="shared" si="39"/>
        <v>0</v>
      </c>
    </row>
    <row r="223" spans="2:22" x14ac:dyDescent="0.35">
      <c r="B223" s="71">
        <f t="shared" si="34"/>
        <v>0</v>
      </c>
      <c r="C223" s="72"/>
      <c r="D223" s="140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41"/>
      <c r="Q223" s="99"/>
      <c r="R223" s="88">
        <f t="shared" si="35"/>
        <v>0</v>
      </c>
      <c r="S223" s="78">
        <f t="shared" si="36"/>
        <v>0</v>
      </c>
      <c r="T223" s="78">
        <f t="shared" si="37"/>
        <v>0</v>
      </c>
      <c r="U223" s="78">
        <f t="shared" si="38"/>
        <v>0</v>
      </c>
      <c r="V223" s="79">
        <f t="shared" si="39"/>
        <v>0</v>
      </c>
    </row>
    <row r="224" spans="2:22" x14ac:dyDescent="0.35">
      <c r="B224" s="71">
        <f t="shared" si="34"/>
        <v>0</v>
      </c>
      <c r="C224" s="72"/>
      <c r="D224" s="140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41"/>
      <c r="Q224" s="101"/>
      <c r="R224" s="88">
        <f t="shared" si="35"/>
        <v>0</v>
      </c>
      <c r="S224" s="78">
        <f t="shared" si="36"/>
        <v>0</v>
      </c>
      <c r="T224" s="78">
        <f t="shared" si="37"/>
        <v>0</v>
      </c>
      <c r="U224" s="78">
        <f t="shared" si="38"/>
        <v>0</v>
      </c>
      <c r="V224" s="79">
        <f t="shared" si="39"/>
        <v>0</v>
      </c>
    </row>
    <row r="225" spans="2:22" x14ac:dyDescent="0.35">
      <c r="B225" s="71">
        <f t="shared" si="34"/>
        <v>0</v>
      </c>
      <c r="C225" s="72"/>
      <c r="D225" s="140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41"/>
      <c r="Q225" s="109"/>
      <c r="R225" s="88">
        <f t="shared" si="35"/>
        <v>0</v>
      </c>
      <c r="S225" s="78">
        <f t="shared" si="36"/>
        <v>0</v>
      </c>
      <c r="T225" s="78">
        <f t="shared" si="37"/>
        <v>0</v>
      </c>
      <c r="U225" s="78">
        <f t="shared" si="38"/>
        <v>0</v>
      </c>
      <c r="V225" s="79">
        <f t="shared" si="39"/>
        <v>0</v>
      </c>
    </row>
    <row r="226" spans="2:22" x14ac:dyDescent="0.35">
      <c r="B226" s="71">
        <f t="shared" si="34"/>
        <v>0</v>
      </c>
      <c r="C226" s="72"/>
      <c r="D226" s="140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41"/>
      <c r="Q226" s="87"/>
      <c r="R226" s="88">
        <f t="shared" si="35"/>
        <v>0</v>
      </c>
      <c r="S226" s="78">
        <f t="shared" si="36"/>
        <v>0</v>
      </c>
      <c r="T226" s="78">
        <f t="shared" si="37"/>
        <v>0</v>
      </c>
      <c r="U226" s="78">
        <f t="shared" si="38"/>
        <v>0</v>
      </c>
      <c r="V226" s="79">
        <f t="shared" si="39"/>
        <v>0</v>
      </c>
    </row>
    <row r="227" spans="2:22" x14ac:dyDescent="0.35">
      <c r="B227" s="71">
        <f t="shared" si="34"/>
        <v>0</v>
      </c>
      <c r="C227" s="72"/>
      <c r="D227" s="140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41"/>
      <c r="Q227" s="99"/>
      <c r="R227" s="88">
        <f t="shared" si="35"/>
        <v>0</v>
      </c>
      <c r="S227" s="78">
        <f t="shared" si="36"/>
        <v>0</v>
      </c>
      <c r="T227" s="78">
        <f t="shared" si="37"/>
        <v>0</v>
      </c>
      <c r="U227" s="78">
        <f t="shared" si="38"/>
        <v>0</v>
      </c>
      <c r="V227" s="79">
        <f t="shared" si="39"/>
        <v>0</v>
      </c>
    </row>
    <row r="228" spans="2:22" x14ac:dyDescent="0.35">
      <c r="B228" s="71">
        <f t="shared" si="34"/>
        <v>0</v>
      </c>
      <c r="C228" s="72"/>
      <c r="D228" s="140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41"/>
      <c r="Q228" s="101"/>
      <c r="R228" s="88">
        <f t="shared" si="35"/>
        <v>0</v>
      </c>
      <c r="S228" s="78">
        <f t="shared" si="36"/>
        <v>0</v>
      </c>
      <c r="T228" s="78">
        <f t="shared" si="37"/>
        <v>0</v>
      </c>
      <c r="U228" s="78">
        <f t="shared" si="38"/>
        <v>0</v>
      </c>
      <c r="V228" s="79">
        <f t="shared" si="39"/>
        <v>0</v>
      </c>
    </row>
    <row r="229" spans="2:22" x14ac:dyDescent="0.35">
      <c r="B229" s="71">
        <f t="shared" si="34"/>
        <v>0</v>
      </c>
      <c r="C229" s="72"/>
      <c r="D229" s="140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41"/>
      <c r="Q229" s="109"/>
      <c r="R229" s="88">
        <f t="shared" si="35"/>
        <v>0</v>
      </c>
      <c r="S229" s="78">
        <f t="shared" si="36"/>
        <v>0</v>
      </c>
      <c r="T229" s="78">
        <f t="shared" si="37"/>
        <v>0</v>
      </c>
      <c r="U229" s="78">
        <f t="shared" si="38"/>
        <v>0</v>
      </c>
      <c r="V229" s="79">
        <f t="shared" si="39"/>
        <v>0</v>
      </c>
    </row>
    <row r="230" spans="2:22" x14ac:dyDescent="0.35">
      <c r="B230" s="71">
        <f t="shared" si="34"/>
        <v>0</v>
      </c>
      <c r="C230" s="72"/>
      <c r="D230" s="140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41"/>
      <c r="Q230" s="87"/>
      <c r="R230" s="88">
        <f t="shared" si="35"/>
        <v>0</v>
      </c>
      <c r="S230" s="78">
        <f t="shared" si="36"/>
        <v>0</v>
      </c>
      <c r="T230" s="78">
        <f t="shared" si="37"/>
        <v>0</v>
      </c>
      <c r="U230" s="78">
        <f t="shared" si="38"/>
        <v>0</v>
      </c>
      <c r="V230" s="79">
        <f t="shared" si="39"/>
        <v>0</v>
      </c>
    </row>
    <row r="231" spans="2:22" x14ac:dyDescent="0.35">
      <c r="B231" s="71">
        <f t="shared" si="34"/>
        <v>0</v>
      </c>
      <c r="C231" s="72"/>
      <c r="D231" s="140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41"/>
      <c r="Q231" s="99"/>
      <c r="R231" s="88">
        <f t="shared" si="35"/>
        <v>0</v>
      </c>
      <c r="S231" s="78">
        <f t="shared" si="36"/>
        <v>0</v>
      </c>
      <c r="T231" s="78">
        <f t="shared" si="37"/>
        <v>0</v>
      </c>
      <c r="U231" s="78">
        <f t="shared" si="38"/>
        <v>0</v>
      </c>
      <c r="V231" s="79">
        <f t="shared" si="39"/>
        <v>0</v>
      </c>
    </row>
    <row r="232" spans="2:22" x14ac:dyDescent="0.35">
      <c r="B232" s="71">
        <f t="shared" si="34"/>
        <v>0</v>
      </c>
      <c r="C232" s="72"/>
      <c r="D232" s="140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41"/>
      <c r="Q232" s="101"/>
      <c r="R232" s="88">
        <f t="shared" si="35"/>
        <v>0</v>
      </c>
      <c r="S232" s="78">
        <f t="shared" si="36"/>
        <v>0</v>
      </c>
      <c r="T232" s="78">
        <f t="shared" si="37"/>
        <v>0</v>
      </c>
      <c r="U232" s="78">
        <f t="shared" si="38"/>
        <v>0</v>
      </c>
      <c r="V232" s="79">
        <f t="shared" si="39"/>
        <v>0</v>
      </c>
    </row>
    <row r="233" spans="2:22" x14ac:dyDescent="0.35">
      <c r="B233" s="71">
        <f t="shared" si="34"/>
        <v>0</v>
      </c>
      <c r="C233" s="72"/>
      <c r="D233" s="140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41"/>
      <c r="Q233" s="109"/>
      <c r="R233" s="88">
        <f t="shared" si="35"/>
        <v>0</v>
      </c>
      <c r="S233" s="78">
        <f t="shared" si="36"/>
        <v>0</v>
      </c>
      <c r="T233" s="78">
        <f t="shared" si="37"/>
        <v>0</v>
      </c>
      <c r="U233" s="78">
        <f t="shared" si="38"/>
        <v>0</v>
      </c>
      <c r="V233" s="79">
        <f t="shared" si="39"/>
        <v>0</v>
      </c>
    </row>
    <row r="234" spans="2:22" x14ac:dyDescent="0.35">
      <c r="B234" s="71">
        <f t="shared" si="34"/>
        <v>0</v>
      </c>
      <c r="C234" s="72"/>
      <c r="D234" s="140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41"/>
      <c r="Q234" s="87"/>
      <c r="R234" s="88">
        <f t="shared" si="35"/>
        <v>0</v>
      </c>
      <c r="S234" s="78">
        <f t="shared" si="36"/>
        <v>0</v>
      </c>
      <c r="T234" s="78">
        <f t="shared" si="37"/>
        <v>0</v>
      </c>
      <c r="U234" s="78">
        <f t="shared" si="38"/>
        <v>0</v>
      </c>
      <c r="V234" s="79">
        <f t="shared" si="39"/>
        <v>0</v>
      </c>
    </row>
    <row r="235" spans="2:22" x14ac:dyDescent="0.35">
      <c r="B235" s="71">
        <f t="shared" si="34"/>
        <v>0</v>
      </c>
      <c r="C235" s="72"/>
      <c r="D235" s="140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41"/>
      <c r="Q235" s="99"/>
      <c r="R235" s="88">
        <f t="shared" si="35"/>
        <v>0</v>
      </c>
      <c r="S235" s="78">
        <f t="shared" si="36"/>
        <v>0</v>
      </c>
      <c r="T235" s="78">
        <f t="shared" si="37"/>
        <v>0</v>
      </c>
      <c r="U235" s="78">
        <f t="shared" si="38"/>
        <v>0</v>
      </c>
      <c r="V235" s="79">
        <f t="shared" si="39"/>
        <v>0</v>
      </c>
    </row>
    <row r="236" spans="2:22" x14ac:dyDescent="0.35">
      <c r="B236" s="71">
        <f t="shared" si="34"/>
        <v>0</v>
      </c>
      <c r="C236" s="72"/>
      <c r="D236" s="140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41"/>
      <c r="Q236" s="99"/>
      <c r="R236" s="88">
        <f t="shared" si="35"/>
        <v>0</v>
      </c>
      <c r="S236" s="78">
        <f t="shared" si="36"/>
        <v>0</v>
      </c>
      <c r="T236" s="78">
        <f t="shared" si="37"/>
        <v>0</v>
      </c>
      <c r="U236" s="78">
        <f t="shared" si="38"/>
        <v>0</v>
      </c>
      <c r="V236" s="79">
        <f t="shared" si="39"/>
        <v>0</v>
      </c>
    </row>
    <row r="237" spans="2:22" x14ac:dyDescent="0.35">
      <c r="B237" s="71">
        <f t="shared" si="34"/>
        <v>0</v>
      </c>
      <c r="C237" s="72"/>
      <c r="D237" s="140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41"/>
      <c r="Q237" s="99"/>
      <c r="R237" s="88">
        <f t="shared" si="35"/>
        <v>0</v>
      </c>
      <c r="S237" s="78">
        <f t="shared" si="36"/>
        <v>0</v>
      </c>
      <c r="T237" s="78">
        <f t="shared" si="37"/>
        <v>0</v>
      </c>
      <c r="U237" s="78">
        <f t="shared" si="38"/>
        <v>0</v>
      </c>
      <c r="V237" s="79">
        <f t="shared" si="39"/>
        <v>0</v>
      </c>
    </row>
    <row r="238" spans="2:22" x14ac:dyDescent="0.35">
      <c r="B238" s="71">
        <f t="shared" si="34"/>
        <v>0</v>
      </c>
      <c r="C238" s="72"/>
      <c r="D238" s="140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41"/>
      <c r="Q238" s="99"/>
      <c r="R238" s="88">
        <f t="shared" si="35"/>
        <v>0</v>
      </c>
      <c r="S238" s="78">
        <f t="shared" si="36"/>
        <v>0</v>
      </c>
      <c r="T238" s="78">
        <f t="shared" si="37"/>
        <v>0</v>
      </c>
      <c r="U238" s="78">
        <f t="shared" si="38"/>
        <v>0</v>
      </c>
      <c r="V238" s="79">
        <f t="shared" si="39"/>
        <v>0</v>
      </c>
    </row>
    <row r="239" spans="2:22" x14ac:dyDescent="0.35">
      <c r="B239" s="71">
        <f t="shared" si="34"/>
        <v>0</v>
      </c>
      <c r="C239" s="72"/>
      <c r="D239" s="140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41"/>
      <c r="Q239" s="99"/>
      <c r="R239" s="88">
        <f t="shared" si="35"/>
        <v>0</v>
      </c>
      <c r="S239" s="78">
        <f t="shared" si="36"/>
        <v>0</v>
      </c>
      <c r="T239" s="78">
        <f t="shared" si="37"/>
        <v>0</v>
      </c>
      <c r="U239" s="78">
        <f t="shared" si="38"/>
        <v>0</v>
      </c>
      <c r="V239" s="79">
        <f t="shared" si="39"/>
        <v>0</v>
      </c>
    </row>
    <row r="240" spans="2:22" x14ac:dyDescent="0.35">
      <c r="B240" s="71">
        <f t="shared" si="34"/>
        <v>0</v>
      </c>
      <c r="C240" s="72"/>
      <c r="D240" s="140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41"/>
      <c r="Q240" s="99"/>
      <c r="R240" s="88">
        <f t="shared" si="35"/>
        <v>0</v>
      </c>
      <c r="S240" s="78">
        <f t="shared" si="36"/>
        <v>0</v>
      </c>
      <c r="T240" s="78">
        <f t="shared" si="37"/>
        <v>0</v>
      </c>
      <c r="U240" s="78">
        <f t="shared" si="38"/>
        <v>0</v>
      </c>
      <c r="V240" s="79">
        <f t="shared" si="39"/>
        <v>0</v>
      </c>
    </row>
    <row r="241" spans="2:22" x14ac:dyDescent="0.35">
      <c r="B241" s="71">
        <f t="shared" si="34"/>
        <v>0</v>
      </c>
      <c r="C241" s="72"/>
      <c r="D241" s="140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41"/>
      <c r="Q241" s="99"/>
      <c r="R241" s="88">
        <f t="shared" si="35"/>
        <v>0</v>
      </c>
      <c r="S241" s="78">
        <f t="shared" si="36"/>
        <v>0</v>
      </c>
      <c r="T241" s="78">
        <f t="shared" si="37"/>
        <v>0</v>
      </c>
      <c r="U241" s="78">
        <f t="shared" si="38"/>
        <v>0</v>
      </c>
      <c r="V241" s="79">
        <f t="shared" si="39"/>
        <v>0</v>
      </c>
    </row>
    <row r="242" spans="2:22" x14ac:dyDescent="0.35">
      <c r="B242" s="71">
        <f t="shared" si="34"/>
        <v>0</v>
      </c>
      <c r="C242" s="72"/>
      <c r="D242" s="140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41"/>
      <c r="Q242" s="99"/>
      <c r="R242" s="88">
        <f t="shared" si="35"/>
        <v>0</v>
      </c>
      <c r="S242" s="78">
        <f t="shared" si="36"/>
        <v>0</v>
      </c>
      <c r="T242" s="78">
        <f t="shared" si="37"/>
        <v>0</v>
      </c>
      <c r="U242" s="78">
        <f t="shared" si="38"/>
        <v>0</v>
      </c>
      <c r="V242" s="79">
        <f t="shared" si="39"/>
        <v>0</v>
      </c>
    </row>
    <row r="243" spans="2:22" x14ac:dyDescent="0.35">
      <c r="B243" s="71">
        <f t="shared" si="34"/>
        <v>0</v>
      </c>
      <c r="C243" s="72"/>
      <c r="D243" s="140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41"/>
      <c r="Q243" s="99"/>
      <c r="R243" s="88">
        <f t="shared" si="35"/>
        <v>0</v>
      </c>
      <c r="S243" s="78">
        <f t="shared" si="36"/>
        <v>0</v>
      </c>
      <c r="T243" s="78">
        <f t="shared" si="37"/>
        <v>0</v>
      </c>
      <c r="U243" s="78">
        <f t="shared" si="38"/>
        <v>0</v>
      </c>
      <c r="V243" s="79">
        <f t="shared" si="39"/>
        <v>0</v>
      </c>
    </row>
    <row r="244" spans="2:22" x14ac:dyDescent="0.35">
      <c r="B244" s="71">
        <f t="shared" si="34"/>
        <v>0</v>
      </c>
      <c r="C244" s="72"/>
      <c r="D244" s="140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41"/>
      <c r="Q244" s="99"/>
      <c r="R244" s="88">
        <f t="shared" si="35"/>
        <v>0</v>
      </c>
      <c r="S244" s="78">
        <f t="shared" si="36"/>
        <v>0</v>
      </c>
      <c r="T244" s="78">
        <f t="shared" si="37"/>
        <v>0</v>
      </c>
      <c r="U244" s="78">
        <f t="shared" si="38"/>
        <v>0</v>
      </c>
      <c r="V244" s="79">
        <f t="shared" si="39"/>
        <v>0</v>
      </c>
    </row>
    <row r="245" spans="2:22" x14ac:dyDescent="0.35">
      <c r="B245" s="71">
        <f t="shared" si="34"/>
        <v>0</v>
      </c>
      <c r="C245" s="72"/>
      <c r="D245" s="140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41"/>
      <c r="Q245" s="99"/>
      <c r="R245" s="88">
        <f t="shared" si="35"/>
        <v>0</v>
      </c>
      <c r="S245" s="78">
        <f t="shared" si="36"/>
        <v>0</v>
      </c>
      <c r="T245" s="78">
        <f t="shared" si="37"/>
        <v>0</v>
      </c>
      <c r="U245" s="78">
        <f t="shared" si="38"/>
        <v>0</v>
      </c>
      <c r="V245" s="79">
        <f t="shared" si="39"/>
        <v>0</v>
      </c>
    </row>
    <row r="246" spans="2:22" x14ac:dyDescent="0.35">
      <c r="B246" s="71">
        <f t="shared" si="34"/>
        <v>0</v>
      </c>
      <c r="C246" s="72"/>
      <c r="D246" s="140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41"/>
      <c r="Q246" s="101"/>
      <c r="R246" s="88">
        <f t="shared" si="35"/>
        <v>0</v>
      </c>
      <c r="S246" s="78">
        <f t="shared" si="36"/>
        <v>0</v>
      </c>
      <c r="T246" s="78">
        <f t="shared" si="37"/>
        <v>0</v>
      </c>
      <c r="U246" s="78">
        <f t="shared" si="38"/>
        <v>0</v>
      </c>
      <c r="V246" s="79">
        <f t="shared" si="39"/>
        <v>0</v>
      </c>
    </row>
    <row r="247" spans="2:22" x14ac:dyDescent="0.35">
      <c r="B247" s="71">
        <f t="shared" si="34"/>
        <v>0</v>
      </c>
      <c r="C247" s="72"/>
      <c r="D247" s="140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41"/>
      <c r="Q247" s="101"/>
      <c r="R247" s="88">
        <f t="shared" si="35"/>
        <v>0</v>
      </c>
      <c r="S247" s="78">
        <f t="shared" si="36"/>
        <v>0</v>
      </c>
      <c r="T247" s="78">
        <f t="shared" si="37"/>
        <v>0</v>
      </c>
      <c r="U247" s="78">
        <f t="shared" si="38"/>
        <v>0</v>
      </c>
      <c r="V247" s="79">
        <f t="shared" si="39"/>
        <v>0</v>
      </c>
    </row>
    <row r="248" spans="2:22" x14ac:dyDescent="0.35">
      <c r="B248" s="71">
        <f t="shared" si="34"/>
        <v>0</v>
      </c>
      <c r="C248" s="72"/>
      <c r="D248" s="140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41"/>
      <c r="Q248" s="109"/>
      <c r="R248" s="88">
        <f t="shared" si="35"/>
        <v>0</v>
      </c>
      <c r="S248" s="78">
        <f t="shared" si="36"/>
        <v>0</v>
      </c>
      <c r="T248" s="78">
        <f t="shared" si="37"/>
        <v>0</v>
      </c>
      <c r="U248" s="78">
        <f t="shared" si="38"/>
        <v>0</v>
      </c>
      <c r="V248" s="79">
        <f t="shared" si="39"/>
        <v>0</v>
      </c>
    </row>
    <row r="249" spans="2:22" x14ac:dyDescent="0.35">
      <c r="B249" s="71">
        <f t="shared" si="34"/>
        <v>0</v>
      </c>
      <c r="C249" s="72"/>
      <c r="D249" s="140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41"/>
      <c r="Q249" s="87"/>
      <c r="R249" s="88">
        <f t="shared" si="35"/>
        <v>0</v>
      </c>
      <c r="S249" s="78">
        <f t="shared" si="36"/>
        <v>0</v>
      </c>
      <c r="T249" s="78">
        <f t="shared" si="37"/>
        <v>0</v>
      </c>
      <c r="U249" s="78">
        <f t="shared" si="38"/>
        <v>0</v>
      </c>
      <c r="V249" s="79">
        <f t="shared" si="39"/>
        <v>0</v>
      </c>
    </row>
    <row r="250" spans="2:22" x14ac:dyDescent="0.35">
      <c r="B250" s="71">
        <f t="shared" si="34"/>
        <v>0</v>
      </c>
      <c r="C250" s="72"/>
      <c r="D250" s="140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41"/>
      <c r="Q250" s="99"/>
      <c r="R250" s="88">
        <f t="shared" si="35"/>
        <v>0</v>
      </c>
      <c r="S250" s="78">
        <f t="shared" si="36"/>
        <v>0</v>
      </c>
      <c r="T250" s="78">
        <f t="shared" si="37"/>
        <v>0</v>
      </c>
      <c r="U250" s="78">
        <f t="shared" si="38"/>
        <v>0</v>
      </c>
      <c r="V250" s="79">
        <f t="shared" si="39"/>
        <v>0</v>
      </c>
    </row>
    <row r="251" spans="2:22" x14ac:dyDescent="0.35">
      <c r="B251" s="71">
        <f t="shared" si="34"/>
        <v>0</v>
      </c>
      <c r="C251" s="72"/>
      <c r="D251" s="140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41"/>
      <c r="Q251" s="99"/>
      <c r="R251" s="88">
        <f t="shared" si="35"/>
        <v>0</v>
      </c>
      <c r="S251" s="78">
        <f t="shared" si="36"/>
        <v>0</v>
      </c>
      <c r="T251" s="78">
        <f t="shared" si="37"/>
        <v>0</v>
      </c>
      <c r="U251" s="78">
        <f t="shared" si="38"/>
        <v>0</v>
      </c>
      <c r="V251" s="79">
        <f t="shared" si="39"/>
        <v>0</v>
      </c>
    </row>
    <row r="252" spans="2:22" x14ac:dyDescent="0.35">
      <c r="B252" s="71">
        <f t="shared" si="34"/>
        <v>0</v>
      </c>
      <c r="C252" s="72"/>
      <c r="D252" s="140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41"/>
      <c r="Q252" s="99"/>
      <c r="R252" s="88">
        <f t="shared" si="35"/>
        <v>0</v>
      </c>
      <c r="S252" s="78">
        <f t="shared" si="36"/>
        <v>0</v>
      </c>
      <c r="T252" s="78">
        <f t="shared" si="37"/>
        <v>0</v>
      </c>
      <c r="U252" s="78">
        <f t="shared" si="38"/>
        <v>0</v>
      </c>
      <c r="V252" s="79">
        <f t="shared" si="39"/>
        <v>0</v>
      </c>
    </row>
    <row r="253" spans="2:22" x14ac:dyDescent="0.35">
      <c r="B253" s="71">
        <f t="shared" si="34"/>
        <v>0</v>
      </c>
      <c r="C253" s="72"/>
      <c r="D253" s="140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41"/>
      <c r="Q253" s="99"/>
      <c r="R253" s="88">
        <f t="shared" si="35"/>
        <v>0</v>
      </c>
      <c r="S253" s="78">
        <f t="shared" si="36"/>
        <v>0</v>
      </c>
      <c r="T253" s="78">
        <f t="shared" si="37"/>
        <v>0</v>
      </c>
      <c r="U253" s="78">
        <f t="shared" si="38"/>
        <v>0</v>
      </c>
      <c r="V253" s="79">
        <f t="shared" si="39"/>
        <v>0</v>
      </c>
    </row>
    <row r="254" spans="2:22" x14ac:dyDescent="0.35">
      <c r="B254" s="71">
        <f t="shared" si="34"/>
        <v>0</v>
      </c>
      <c r="C254" s="72"/>
      <c r="D254" s="140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41"/>
      <c r="Q254" s="99"/>
      <c r="R254" s="88">
        <f t="shared" si="35"/>
        <v>0</v>
      </c>
      <c r="S254" s="78">
        <f t="shared" si="36"/>
        <v>0</v>
      </c>
      <c r="T254" s="78">
        <f t="shared" si="37"/>
        <v>0</v>
      </c>
      <c r="U254" s="78">
        <f t="shared" si="38"/>
        <v>0</v>
      </c>
      <c r="V254" s="79">
        <f t="shared" si="39"/>
        <v>0</v>
      </c>
    </row>
    <row r="255" spans="2:22" x14ac:dyDescent="0.35">
      <c r="B255" s="71">
        <f t="shared" si="34"/>
        <v>0</v>
      </c>
      <c r="C255" s="72"/>
      <c r="D255" s="140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41"/>
      <c r="Q255" s="99"/>
      <c r="R255" s="88">
        <f t="shared" si="35"/>
        <v>0</v>
      </c>
      <c r="S255" s="78">
        <f t="shared" si="36"/>
        <v>0</v>
      </c>
      <c r="T255" s="78">
        <f t="shared" si="37"/>
        <v>0</v>
      </c>
      <c r="U255" s="78">
        <f t="shared" si="38"/>
        <v>0</v>
      </c>
      <c r="V255" s="79">
        <f t="shared" si="39"/>
        <v>0</v>
      </c>
    </row>
    <row r="256" spans="2:22" x14ac:dyDescent="0.35">
      <c r="B256" s="71">
        <f t="shared" si="34"/>
        <v>0</v>
      </c>
      <c r="C256" s="72"/>
      <c r="D256" s="140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41"/>
      <c r="Q256" s="99"/>
      <c r="R256" s="88">
        <f t="shared" si="35"/>
        <v>0</v>
      </c>
      <c r="S256" s="78">
        <f t="shared" si="36"/>
        <v>0</v>
      </c>
      <c r="T256" s="78">
        <f t="shared" si="37"/>
        <v>0</v>
      </c>
      <c r="U256" s="78">
        <f t="shared" si="38"/>
        <v>0</v>
      </c>
      <c r="V256" s="79">
        <f t="shared" si="39"/>
        <v>0</v>
      </c>
    </row>
    <row r="257" spans="2:22" x14ac:dyDescent="0.35">
      <c r="B257" s="71">
        <f t="shared" si="34"/>
        <v>0</v>
      </c>
      <c r="C257" s="72"/>
      <c r="D257" s="140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41"/>
      <c r="Q257" s="99"/>
      <c r="R257" s="88">
        <f t="shared" si="35"/>
        <v>0</v>
      </c>
      <c r="S257" s="78">
        <f t="shared" si="36"/>
        <v>0</v>
      </c>
      <c r="T257" s="78">
        <f t="shared" si="37"/>
        <v>0</v>
      </c>
      <c r="U257" s="78">
        <f t="shared" si="38"/>
        <v>0</v>
      </c>
      <c r="V257" s="79">
        <f t="shared" si="39"/>
        <v>0</v>
      </c>
    </row>
    <row r="258" spans="2:22" x14ac:dyDescent="0.35">
      <c r="B258" s="71">
        <f t="shared" si="34"/>
        <v>0</v>
      </c>
      <c r="C258" s="72"/>
      <c r="D258" s="140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41"/>
      <c r="Q258" s="99"/>
      <c r="R258" s="88">
        <f t="shared" si="35"/>
        <v>0</v>
      </c>
      <c r="S258" s="78">
        <f t="shared" si="36"/>
        <v>0</v>
      </c>
      <c r="T258" s="78">
        <f t="shared" si="37"/>
        <v>0</v>
      </c>
      <c r="U258" s="78">
        <f t="shared" si="38"/>
        <v>0</v>
      </c>
      <c r="V258" s="79">
        <f t="shared" si="39"/>
        <v>0</v>
      </c>
    </row>
    <row r="259" spans="2:22" x14ac:dyDescent="0.35">
      <c r="B259" s="71">
        <f t="shared" si="34"/>
        <v>0</v>
      </c>
      <c r="C259" s="72"/>
      <c r="D259" s="140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41"/>
      <c r="Q259" s="99"/>
      <c r="R259" s="88">
        <f t="shared" si="35"/>
        <v>0</v>
      </c>
      <c r="S259" s="78">
        <f t="shared" si="36"/>
        <v>0</v>
      </c>
      <c r="T259" s="78">
        <f t="shared" si="37"/>
        <v>0</v>
      </c>
      <c r="U259" s="78">
        <f t="shared" si="38"/>
        <v>0</v>
      </c>
      <c r="V259" s="79">
        <f t="shared" si="39"/>
        <v>0</v>
      </c>
    </row>
    <row r="260" spans="2:22" x14ac:dyDescent="0.35">
      <c r="B260" s="71">
        <f t="shared" si="34"/>
        <v>0</v>
      </c>
      <c r="C260" s="72"/>
      <c r="D260" s="140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41"/>
      <c r="Q260" s="99"/>
      <c r="R260" s="88">
        <f t="shared" si="35"/>
        <v>0</v>
      </c>
      <c r="S260" s="78">
        <f t="shared" si="36"/>
        <v>0</v>
      </c>
      <c r="T260" s="78">
        <f t="shared" si="37"/>
        <v>0</v>
      </c>
      <c r="U260" s="78">
        <f t="shared" si="38"/>
        <v>0</v>
      </c>
      <c r="V260" s="79">
        <f t="shared" si="39"/>
        <v>0</v>
      </c>
    </row>
    <row r="261" spans="2:22" x14ac:dyDescent="0.35">
      <c r="B261" s="71">
        <f t="shared" si="34"/>
        <v>0</v>
      </c>
      <c r="C261" s="72"/>
      <c r="D261" s="140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41"/>
      <c r="Q261" s="99"/>
      <c r="R261" s="88">
        <f t="shared" si="35"/>
        <v>0</v>
      </c>
      <c r="S261" s="78">
        <f t="shared" si="36"/>
        <v>0</v>
      </c>
      <c r="T261" s="78">
        <f t="shared" si="37"/>
        <v>0</v>
      </c>
      <c r="U261" s="78">
        <f t="shared" si="38"/>
        <v>0</v>
      </c>
      <c r="V261" s="79">
        <f t="shared" si="39"/>
        <v>0</v>
      </c>
    </row>
    <row r="262" spans="2:22" x14ac:dyDescent="0.35">
      <c r="B262" s="71">
        <f t="shared" si="34"/>
        <v>0</v>
      </c>
      <c r="C262" s="72"/>
      <c r="D262" s="140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41"/>
      <c r="Q262" s="99"/>
      <c r="R262" s="88">
        <f t="shared" si="35"/>
        <v>0</v>
      </c>
      <c r="S262" s="78">
        <f t="shared" si="36"/>
        <v>0</v>
      </c>
      <c r="T262" s="78">
        <f t="shared" si="37"/>
        <v>0</v>
      </c>
      <c r="U262" s="78">
        <f t="shared" si="38"/>
        <v>0</v>
      </c>
      <c r="V262" s="79">
        <f t="shared" si="39"/>
        <v>0</v>
      </c>
    </row>
    <row r="263" spans="2:22" x14ac:dyDescent="0.35">
      <c r="B263" s="71">
        <f t="shared" si="34"/>
        <v>0</v>
      </c>
      <c r="C263" s="72"/>
      <c r="D263" s="140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41"/>
      <c r="Q263" s="99"/>
      <c r="R263" s="88">
        <f t="shared" si="35"/>
        <v>0</v>
      </c>
      <c r="S263" s="78">
        <f t="shared" si="36"/>
        <v>0</v>
      </c>
      <c r="T263" s="78">
        <f t="shared" si="37"/>
        <v>0</v>
      </c>
      <c r="U263" s="78">
        <f t="shared" si="38"/>
        <v>0</v>
      </c>
      <c r="V263" s="79">
        <f t="shared" si="39"/>
        <v>0</v>
      </c>
    </row>
    <row r="264" spans="2:22" x14ac:dyDescent="0.35">
      <c r="B264" s="71">
        <f t="shared" si="34"/>
        <v>0</v>
      </c>
      <c r="C264" s="72"/>
      <c r="D264" s="140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41"/>
      <c r="Q264" s="99"/>
      <c r="R264" s="88">
        <f t="shared" si="35"/>
        <v>0</v>
      </c>
      <c r="S264" s="78">
        <f t="shared" si="36"/>
        <v>0</v>
      </c>
      <c r="T264" s="78">
        <f t="shared" si="37"/>
        <v>0</v>
      </c>
      <c r="U264" s="78">
        <f t="shared" si="38"/>
        <v>0</v>
      </c>
      <c r="V264" s="79">
        <f t="shared" si="39"/>
        <v>0</v>
      </c>
    </row>
    <row r="265" spans="2:22" x14ac:dyDescent="0.35">
      <c r="B265" s="71">
        <f t="shared" ref="B265:B328" si="40">SUM(E265:P265)</f>
        <v>0</v>
      </c>
      <c r="C265" s="72"/>
      <c r="D265" s="140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41"/>
      <c r="Q265" s="99"/>
      <c r="R265" s="88">
        <f t="shared" si="35"/>
        <v>0</v>
      </c>
      <c r="S265" s="78">
        <f t="shared" si="36"/>
        <v>0</v>
      </c>
      <c r="T265" s="78">
        <f t="shared" si="37"/>
        <v>0</v>
      </c>
      <c r="U265" s="78">
        <f t="shared" si="38"/>
        <v>0</v>
      </c>
      <c r="V265" s="79">
        <f t="shared" si="39"/>
        <v>0</v>
      </c>
    </row>
    <row r="266" spans="2:22" x14ac:dyDescent="0.35">
      <c r="B266" s="71">
        <f t="shared" si="40"/>
        <v>0</v>
      </c>
      <c r="C266" s="72"/>
      <c r="D266" s="140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41"/>
      <c r="Q266" s="99"/>
      <c r="R266" s="88">
        <f t="shared" si="35"/>
        <v>0</v>
      </c>
      <c r="S266" s="78">
        <f t="shared" si="36"/>
        <v>0</v>
      </c>
      <c r="T266" s="78">
        <f t="shared" si="37"/>
        <v>0</v>
      </c>
      <c r="U266" s="78">
        <f t="shared" si="38"/>
        <v>0</v>
      </c>
      <c r="V266" s="79">
        <f t="shared" si="39"/>
        <v>0</v>
      </c>
    </row>
    <row r="267" spans="2:22" x14ac:dyDescent="0.35">
      <c r="B267" s="71">
        <f t="shared" si="40"/>
        <v>0</v>
      </c>
      <c r="C267" s="72"/>
      <c r="D267" s="140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41"/>
      <c r="Q267" s="99"/>
      <c r="R267" s="88">
        <f t="shared" ref="R267:R330" si="41">SUM(E267:P267)</f>
        <v>0</v>
      </c>
      <c r="S267" s="78">
        <f t="shared" ref="S267:S330" si="42">SUM(H267:P267)/9*12</f>
        <v>0</v>
      </c>
      <c r="T267" s="78">
        <f t="shared" ref="T267:T330" si="43">SUM(K267:P267)*2</f>
        <v>0</v>
      </c>
      <c r="U267" s="78">
        <f t="shared" ref="U267:U330" si="44">SUM(N267:P267)*4</f>
        <v>0</v>
      </c>
      <c r="V267" s="79">
        <f t="shared" ref="V267:V330" si="45">SUM(P267)*12</f>
        <v>0</v>
      </c>
    </row>
    <row r="268" spans="2:22" x14ac:dyDescent="0.35">
      <c r="B268" s="71">
        <f t="shared" si="40"/>
        <v>0</v>
      </c>
      <c r="C268" s="72"/>
      <c r="D268" s="140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41"/>
      <c r="Q268" s="99"/>
      <c r="R268" s="88">
        <f t="shared" si="41"/>
        <v>0</v>
      </c>
      <c r="S268" s="78">
        <f t="shared" si="42"/>
        <v>0</v>
      </c>
      <c r="T268" s="78">
        <f t="shared" si="43"/>
        <v>0</v>
      </c>
      <c r="U268" s="78">
        <f t="shared" si="44"/>
        <v>0</v>
      </c>
      <c r="V268" s="79">
        <f t="shared" si="45"/>
        <v>0</v>
      </c>
    </row>
    <row r="269" spans="2:22" x14ac:dyDescent="0.35">
      <c r="B269" s="71">
        <f t="shared" si="40"/>
        <v>0</v>
      </c>
      <c r="C269" s="72"/>
      <c r="D269" s="140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41"/>
      <c r="Q269" s="99"/>
      <c r="R269" s="88">
        <f t="shared" si="41"/>
        <v>0</v>
      </c>
      <c r="S269" s="78">
        <f t="shared" si="42"/>
        <v>0</v>
      </c>
      <c r="T269" s="78">
        <f t="shared" si="43"/>
        <v>0</v>
      </c>
      <c r="U269" s="78">
        <f t="shared" si="44"/>
        <v>0</v>
      </c>
      <c r="V269" s="79">
        <f t="shared" si="45"/>
        <v>0</v>
      </c>
    </row>
    <row r="270" spans="2:22" x14ac:dyDescent="0.35">
      <c r="B270" s="71">
        <f t="shared" si="40"/>
        <v>0</v>
      </c>
      <c r="C270" s="72"/>
      <c r="D270" s="140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41"/>
      <c r="Q270" s="99"/>
      <c r="R270" s="88">
        <f t="shared" si="41"/>
        <v>0</v>
      </c>
      <c r="S270" s="78">
        <f t="shared" si="42"/>
        <v>0</v>
      </c>
      <c r="T270" s="78">
        <f t="shared" si="43"/>
        <v>0</v>
      </c>
      <c r="U270" s="78">
        <f t="shared" si="44"/>
        <v>0</v>
      </c>
      <c r="V270" s="79">
        <f t="shared" si="45"/>
        <v>0</v>
      </c>
    </row>
    <row r="271" spans="2:22" x14ac:dyDescent="0.35">
      <c r="B271" s="71">
        <f t="shared" si="40"/>
        <v>0</v>
      </c>
      <c r="C271" s="72"/>
      <c r="D271" s="140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41"/>
      <c r="Q271" s="99"/>
      <c r="R271" s="88">
        <f t="shared" si="41"/>
        <v>0</v>
      </c>
      <c r="S271" s="78">
        <f t="shared" si="42"/>
        <v>0</v>
      </c>
      <c r="T271" s="78">
        <f t="shared" si="43"/>
        <v>0</v>
      </c>
      <c r="U271" s="78">
        <f t="shared" si="44"/>
        <v>0</v>
      </c>
      <c r="V271" s="79">
        <f t="shared" si="45"/>
        <v>0</v>
      </c>
    </row>
    <row r="272" spans="2:22" x14ac:dyDescent="0.35">
      <c r="B272" s="71">
        <f t="shared" si="40"/>
        <v>0</v>
      </c>
      <c r="C272" s="72"/>
      <c r="D272" s="140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41"/>
      <c r="Q272" s="99"/>
      <c r="R272" s="88">
        <f t="shared" si="41"/>
        <v>0</v>
      </c>
      <c r="S272" s="78">
        <f t="shared" si="42"/>
        <v>0</v>
      </c>
      <c r="T272" s="78">
        <f t="shared" si="43"/>
        <v>0</v>
      </c>
      <c r="U272" s="78">
        <f t="shared" si="44"/>
        <v>0</v>
      </c>
      <c r="V272" s="79">
        <f t="shared" si="45"/>
        <v>0</v>
      </c>
    </row>
    <row r="273" spans="2:22" x14ac:dyDescent="0.35">
      <c r="B273" s="71">
        <f t="shared" si="40"/>
        <v>0</v>
      </c>
      <c r="C273" s="72"/>
      <c r="D273" s="140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41"/>
      <c r="Q273" s="99"/>
      <c r="R273" s="88">
        <f t="shared" si="41"/>
        <v>0</v>
      </c>
      <c r="S273" s="78">
        <f t="shared" si="42"/>
        <v>0</v>
      </c>
      <c r="T273" s="78">
        <f t="shared" si="43"/>
        <v>0</v>
      </c>
      <c r="U273" s="78">
        <f t="shared" si="44"/>
        <v>0</v>
      </c>
      <c r="V273" s="79">
        <f t="shared" si="45"/>
        <v>0</v>
      </c>
    </row>
    <row r="274" spans="2:22" x14ac:dyDescent="0.35">
      <c r="B274" s="71">
        <f t="shared" si="40"/>
        <v>0</v>
      </c>
      <c r="C274" s="72"/>
      <c r="D274" s="140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41"/>
      <c r="Q274" s="99"/>
      <c r="R274" s="88">
        <f t="shared" si="41"/>
        <v>0</v>
      </c>
      <c r="S274" s="78">
        <f t="shared" si="42"/>
        <v>0</v>
      </c>
      <c r="T274" s="78">
        <f t="shared" si="43"/>
        <v>0</v>
      </c>
      <c r="U274" s="78">
        <f t="shared" si="44"/>
        <v>0</v>
      </c>
      <c r="V274" s="79">
        <f t="shared" si="45"/>
        <v>0</v>
      </c>
    </row>
    <row r="275" spans="2:22" x14ac:dyDescent="0.35">
      <c r="B275" s="71">
        <f t="shared" si="40"/>
        <v>0</v>
      </c>
      <c r="C275" s="72"/>
      <c r="D275" s="140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41"/>
      <c r="Q275" s="99"/>
      <c r="R275" s="88">
        <f t="shared" si="41"/>
        <v>0</v>
      </c>
      <c r="S275" s="78">
        <f t="shared" si="42"/>
        <v>0</v>
      </c>
      <c r="T275" s="78">
        <f t="shared" si="43"/>
        <v>0</v>
      </c>
      <c r="U275" s="78">
        <f t="shared" si="44"/>
        <v>0</v>
      </c>
      <c r="V275" s="79">
        <f t="shared" si="45"/>
        <v>0</v>
      </c>
    </row>
    <row r="276" spans="2:22" x14ac:dyDescent="0.35">
      <c r="B276" s="71">
        <f t="shared" si="40"/>
        <v>0</v>
      </c>
      <c r="C276" s="72"/>
      <c r="D276" s="140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41"/>
      <c r="Q276" s="99"/>
      <c r="R276" s="88">
        <f t="shared" si="41"/>
        <v>0</v>
      </c>
      <c r="S276" s="78">
        <f t="shared" si="42"/>
        <v>0</v>
      </c>
      <c r="T276" s="78">
        <f t="shared" si="43"/>
        <v>0</v>
      </c>
      <c r="U276" s="78">
        <f t="shared" si="44"/>
        <v>0</v>
      </c>
      <c r="V276" s="79">
        <f t="shared" si="45"/>
        <v>0</v>
      </c>
    </row>
    <row r="277" spans="2:22" x14ac:dyDescent="0.35">
      <c r="B277" s="71">
        <f t="shared" si="40"/>
        <v>0</v>
      </c>
      <c r="C277" s="72"/>
      <c r="D277" s="140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41"/>
      <c r="Q277" s="101"/>
      <c r="R277" s="88">
        <f t="shared" si="41"/>
        <v>0</v>
      </c>
      <c r="S277" s="78">
        <f t="shared" si="42"/>
        <v>0</v>
      </c>
      <c r="T277" s="78">
        <f t="shared" si="43"/>
        <v>0</v>
      </c>
      <c r="U277" s="78">
        <f t="shared" si="44"/>
        <v>0</v>
      </c>
      <c r="V277" s="79">
        <f t="shared" si="45"/>
        <v>0</v>
      </c>
    </row>
    <row r="278" spans="2:22" x14ac:dyDescent="0.35">
      <c r="B278" s="71">
        <f t="shared" si="40"/>
        <v>0</v>
      </c>
      <c r="C278" s="72"/>
      <c r="D278" s="140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41"/>
      <c r="Q278" s="101"/>
      <c r="R278" s="88">
        <f t="shared" si="41"/>
        <v>0</v>
      </c>
      <c r="S278" s="78">
        <f t="shared" si="42"/>
        <v>0</v>
      </c>
      <c r="T278" s="78">
        <f t="shared" si="43"/>
        <v>0</v>
      </c>
      <c r="U278" s="78">
        <f t="shared" si="44"/>
        <v>0</v>
      </c>
      <c r="V278" s="79">
        <f t="shared" si="45"/>
        <v>0</v>
      </c>
    </row>
    <row r="279" spans="2:22" x14ac:dyDescent="0.35">
      <c r="B279" s="71">
        <f t="shared" si="40"/>
        <v>0</v>
      </c>
      <c r="C279" s="72"/>
      <c r="D279" s="140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41"/>
      <c r="Q279" s="109"/>
      <c r="R279" s="88">
        <f t="shared" si="41"/>
        <v>0</v>
      </c>
      <c r="S279" s="78">
        <f t="shared" si="42"/>
        <v>0</v>
      </c>
      <c r="T279" s="78">
        <f t="shared" si="43"/>
        <v>0</v>
      </c>
      <c r="U279" s="78">
        <f t="shared" si="44"/>
        <v>0</v>
      </c>
      <c r="V279" s="79">
        <f t="shared" si="45"/>
        <v>0</v>
      </c>
    </row>
    <row r="280" spans="2:22" x14ac:dyDescent="0.35">
      <c r="B280" s="71">
        <f t="shared" si="40"/>
        <v>0</v>
      </c>
      <c r="C280" s="72"/>
      <c r="D280" s="140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41"/>
      <c r="Q280" s="87"/>
      <c r="R280" s="88">
        <f t="shared" si="41"/>
        <v>0</v>
      </c>
      <c r="S280" s="78">
        <f t="shared" si="42"/>
        <v>0</v>
      </c>
      <c r="T280" s="78">
        <f t="shared" si="43"/>
        <v>0</v>
      </c>
      <c r="U280" s="78">
        <f t="shared" si="44"/>
        <v>0</v>
      </c>
      <c r="V280" s="79">
        <f t="shared" si="45"/>
        <v>0</v>
      </c>
    </row>
    <row r="281" spans="2:22" x14ac:dyDescent="0.35">
      <c r="B281" s="71">
        <f t="shared" si="40"/>
        <v>0</v>
      </c>
      <c r="C281" s="72"/>
      <c r="D281" s="140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41"/>
      <c r="Q281" s="109"/>
      <c r="R281" s="88">
        <f t="shared" si="41"/>
        <v>0</v>
      </c>
      <c r="S281" s="78">
        <f t="shared" si="42"/>
        <v>0</v>
      </c>
      <c r="T281" s="78">
        <f t="shared" si="43"/>
        <v>0</v>
      </c>
      <c r="U281" s="78">
        <f t="shared" si="44"/>
        <v>0</v>
      </c>
      <c r="V281" s="79">
        <f t="shared" si="45"/>
        <v>0</v>
      </c>
    </row>
    <row r="282" spans="2:22" x14ac:dyDescent="0.35">
      <c r="B282" s="71">
        <f t="shared" si="40"/>
        <v>0</v>
      </c>
      <c r="C282" s="72"/>
      <c r="D282" s="140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41"/>
      <c r="Q282" s="87"/>
      <c r="R282" s="88">
        <f t="shared" si="41"/>
        <v>0</v>
      </c>
      <c r="S282" s="78">
        <f t="shared" si="42"/>
        <v>0</v>
      </c>
      <c r="T282" s="78">
        <f t="shared" si="43"/>
        <v>0</v>
      </c>
      <c r="U282" s="78">
        <f t="shared" si="44"/>
        <v>0</v>
      </c>
      <c r="V282" s="79">
        <f t="shared" si="45"/>
        <v>0</v>
      </c>
    </row>
    <row r="283" spans="2:22" x14ac:dyDescent="0.35">
      <c r="B283" s="71">
        <f t="shared" si="40"/>
        <v>0</v>
      </c>
      <c r="C283" s="72"/>
      <c r="D283" s="140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41"/>
      <c r="Q283" s="109"/>
      <c r="R283" s="88">
        <f t="shared" si="41"/>
        <v>0</v>
      </c>
      <c r="S283" s="78">
        <f t="shared" si="42"/>
        <v>0</v>
      </c>
      <c r="T283" s="78">
        <f t="shared" si="43"/>
        <v>0</v>
      </c>
      <c r="U283" s="78">
        <f t="shared" si="44"/>
        <v>0</v>
      </c>
      <c r="V283" s="79">
        <f t="shared" si="45"/>
        <v>0</v>
      </c>
    </row>
    <row r="284" spans="2:22" x14ac:dyDescent="0.35">
      <c r="B284" s="71">
        <f t="shared" si="40"/>
        <v>0</v>
      </c>
      <c r="C284" s="72"/>
      <c r="D284" s="140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41"/>
      <c r="Q284" s="87"/>
      <c r="R284" s="88">
        <f t="shared" si="41"/>
        <v>0</v>
      </c>
      <c r="S284" s="78">
        <f t="shared" si="42"/>
        <v>0</v>
      </c>
      <c r="T284" s="78">
        <f t="shared" si="43"/>
        <v>0</v>
      </c>
      <c r="U284" s="78">
        <f t="shared" si="44"/>
        <v>0</v>
      </c>
      <c r="V284" s="79">
        <f t="shared" si="45"/>
        <v>0</v>
      </c>
    </row>
    <row r="285" spans="2:22" x14ac:dyDescent="0.35">
      <c r="B285" s="71">
        <f t="shared" si="40"/>
        <v>0</v>
      </c>
      <c r="C285" s="72"/>
      <c r="D285" s="140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41"/>
      <c r="Q285" s="99"/>
      <c r="R285" s="88">
        <f t="shared" si="41"/>
        <v>0</v>
      </c>
      <c r="S285" s="78">
        <f t="shared" si="42"/>
        <v>0</v>
      </c>
      <c r="T285" s="78">
        <f t="shared" si="43"/>
        <v>0</v>
      </c>
      <c r="U285" s="78">
        <f t="shared" si="44"/>
        <v>0</v>
      </c>
      <c r="V285" s="79">
        <f t="shared" si="45"/>
        <v>0</v>
      </c>
    </row>
    <row r="286" spans="2:22" x14ac:dyDescent="0.35">
      <c r="B286" s="71">
        <f t="shared" si="40"/>
        <v>0</v>
      </c>
      <c r="C286" s="72"/>
      <c r="D286" s="140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41"/>
      <c r="Q286" s="99"/>
      <c r="R286" s="88">
        <f t="shared" si="41"/>
        <v>0</v>
      </c>
      <c r="S286" s="78">
        <f t="shared" si="42"/>
        <v>0</v>
      </c>
      <c r="T286" s="78">
        <f t="shared" si="43"/>
        <v>0</v>
      </c>
      <c r="U286" s="78">
        <f t="shared" si="44"/>
        <v>0</v>
      </c>
      <c r="V286" s="79">
        <f t="shared" si="45"/>
        <v>0</v>
      </c>
    </row>
    <row r="287" spans="2:22" x14ac:dyDescent="0.35">
      <c r="B287" s="71">
        <f t="shared" si="40"/>
        <v>0</v>
      </c>
      <c r="C287" s="72"/>
      <c r="D287" s="140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41"/>
      <c r="Q287" s="99"/>
      <c r="R287" s="88">
        <f t="shared" si="41"/>
        <v>0</v>
      </c>
      <c r="S287" s="78">
        <f t="shared" si="42"/>
        <v>0</v>
      </c>
      <c r="T287" s="78">
        <f t="shared" si="43"/>
        <v>0</v>
      </c>
      <c r="U287" s="78">
        <f t="shared" si="44"/>
        <v>0</v>
      </c>
      <c r="V287" s="79">
        <f t="shared" si="45"/>
        <v>0</v>
      </c>
    </row>
    <row r="288" spans="2:22" x14ac:dyDescent="0.35">
      <c r="B288" s="71">
        <f t="shared" si="40"/>
        <v>0</v>
      </c>
      <c r="C288" s="72"/>
      <c r="D288" s="140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41"/>
      <c r="Q288" s="99"/>
      <c r="R288" s="88">
        <f t="shared" si="41"/>
        <v>0</v>
      </c>
      <c r="S288" s="78">
        <f t="shared" si="42"/>
        <v>0</v>
      </c>
      <c r="T288" s="78">
        <f t="shared" si="43"/>
        <v>0</v>
      </c>
      <c r="U288" s="78">
        <f t="shared" si="44"/>
        <v>0</v>
      </c>
      <c r="V288" s="79">
        <f t="shared" si="45"/>
        <v>0</v>
      </c>
    </row>
    <row r="289" spans="2:22" x14ac:dyDescent="0.35">
      <c r="B289" s="71">
        <f t="shared" si="40"/>
        <v>0</v>
      </c>
      <c r="C289" s="72"/>
      <c r="D289" s="140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41"/>
      <c r="Q289" s="101"/>
      <c r="R289" s="88">
        <f t="shared" si="41"/>
        <v>0</v>
      </c>
      <c r="S289" s="78">
        <f t="shared" si="42"/>
        <v>0</v>
      </c>
      <c r="T289" s="78">
        <f t="shared" si="43"/>
        <v>0</v>
      </c>
      <c r="U289" s="78">
        <f t="shared" si="44"/>
        <v>0</v>
      </c>
      <c r="V289" s="79">
        <f t="shared" si="45"/>
        <v>0</v>
      </c>
    </row>
    <row r="290" spans="2:22" x14ac:dyDescent="0.35">
      <c r="B290" s="71">
        <f t="shared" si="40"/>
        <v>0</v>
      </c>
      <c r="C290" s="72"/>
      <c r="D290" s="140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41"/>
      <c r="Q290" s="109"/>
      <c r="R290" s="88">
        <f t="shared" si="41"/>
        <v>0</v>
      </c>
      <c r="S290" s="78">
        <f t="shared" si="42"/>
        <v>0</v>
      </c>
      <c r="T290" s="78">
        <f t="shared" si="43"/>
        <v>0</v>
      </c>
      <c r="U290" s="78">
        <f t="shared" si="44"/>
        <v>0</v>
      </c>
      <c r="V290" s="79">
        <f t="shared" si="45"/>
        <v>0</v>
      </c>
    </row>
    <row r="291" spans="2:22" x14ac:dyDescent="0.35">
      <c r="B291" s="71">
        <f t="shared" si="40"/>
        <v>0</v>
      </c>
      <c r="C291" s="72"/>
      <c r="D291" s="140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41"/>
      <c r="Q291" s="87"/>
      <c r="R291" s="88">
        <f t="shared" si="41"/>
        <v>0</v>
      </c>
      <c r="S291" s="78">
        <f t="shared" si="42"/>
        <v>0</v>
      </c>
      <c r="T291" s="78">
        <f t="shared" si="43"/>
        <v>0</v>
      </c>
      <c r="U291" s="78">
        <f t="shared" si="44"/>
        <v>0</v>
      </c>
      <c r="V291" s="79">
        <f t="shared" si="45"/>
        <v>0</v>
      </c>
    </row>
    <row r="292" spans="2:22" x14ac:dyDescent="0.35">
      <c r="B292" s="71">
        <f t="shared" si="40"/>
        <v>0</v>
      </c>
      <c r="C292" s="72"/>
      <c r="D292" s="140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41"/>
      <c r="Q292" s="99"/>
      <c r="R292" s="88">
        <f t="shared" si="41"/>
        <v>0</v>
      </c>
      <c r="S292" s="78">
        <f t="shared" si="42"/>
        <v>0</v>
      </c>
      <c r="T292" s="78">
        <f t="shared" si="43"/>
        <v>0</v>
      </c>
      <c r="U292" s="78">
        <f t="shared" si="44"/>
        <v>0</v>
      </c>
      <c r="V292" s="79">
        <f t="shared" si="45"/>
        <v>0</v>
      </c>
    </row>
    <row r="293" spans="2:22" x14ac:dyDescent="0.35">
      <c r="B293" s="71">
        <f t="shared" si="40"/>
        <v>0</v>
      </c>
      <c r="C293" s="72"/>
      <c r="D293" s="140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41"/>
      <c r="Q293" s="99"/>
      <c r="R293" s="88">
        <f t="shared" si="41"/>
        <v>0</v>
      </c>
      <c r="S293" s="78">
        <f t="shared" si="42"/>
        <v>0</v>
      </c>
      <c r="T293" s="78">
        <f t="shared" si="43"/>
        <v>0</v>
      </c>
      <c r="U293" s="78">
        <f t="shared" si="44"/>
        <v>0</v>
      </c>
      <c r="V293" s="79">
        <f t="shared" si="45"/>
        <v>0</v>
      </c>
    </row>
    <row r="294" spans="2:22" x14ac:dyDescent="0.35">
      <c r="B294" s="71">
        <f t="shared" si="40"/>
        <v>0</v>
      </c>
      <c r="C294" s="72"/>
      <c r="D294" s="140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41"/>
      <c r="Q294" s="101"/>
      <c r="R294" s="88">
        <f t="shared" si="41"/>
        <v>0</v>
      </c>
      <c r="S294" s="78">
        <f t="shared" si="42"/>
        <v>0</v>
      </c>
      <c r="T294" s="78">
        <f t="shared" si="43"/>
        <v>0</v>
      </c>
      <c r="U294" s="78">
        <f t="shared" si="44"/>
        <v>0</v>
      </c>
      <c r="V294" s="79">
        <f t="shared" si="45"/>
        <v>0</v>
      </c>
    </row>
    <row r="295" spans="2:22" x14ac:dyDescent="0.35">
      <c r="B295" s="71">
        <f t="shared" si="40"/>
        <v>0</v>
      </c>
      <c r="C295" s="72"/>
      <c r="D295" s="140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41"/>
      <c r="Q295" s="101"/>
      <c r="R295" s="88">
        <f t="shared" si="41"/>
        <v>0</v>
      </c>
      <c r="S295" s="78">
        <f t="shared" si="42"/>
        <v>0</v>
      </c>
      <c r="T295" s="78">
        <f t="shared" si="43"/>
        <v>0</v>
      </c>
      <c r="U295" s="78">
        <f t="shared" si="44"/>
        <v>0</v>
      </c>
      <c r="V295" s="79">
        <f t="shared" si="45"/>
        <v>0</v>
      </c>
    </row>
    <row r="296" spans="2:22" x14ac:dyDescent="0.35">
      <c r="B296" s="71">
        <f t="shared" si="40"/>
        <v>0</v>
      </c>
      <c r="C296" s="72"/>
      <c r="D296" s="140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41"/>
      <c r="Q296" s="109"/>
      <c r="R296" s="88">
        <f t="shared" si="41"/>
        <v>0</v>
      </c>
      <c r="S296" s="78">
        <f t="shared" si="42"/>
        <v>0</v>
      </c>
      <c r="T296" s="78">
        <f t="shared" si="43"/>
        <v>0</v>
      </c>
      <c r="U296" s="78">
        <f t="shared" si="44"/>
        <v>0</v>
      </c>
      <c r="V296" s="79">
        <f t="shared" si="45"/>
        <v>0</v>
      </c>
    </row>
    <row r="297" spans="2:22" x14ac:dyDescent="0.35">
      <c r="B297" s="71">
        <f t="shared" si="40"/>
        <v>0</v>
      </c>
      <c r="C297" s="72"/>
      <c r="D297" s="140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41"/>
      <c r="Q297" s="87"/>
      <c r="R297" s="88">
        <f t="shared" si="41"/>
        <v>0</v>
      </c>
      <c r="S297" s="78">
        <f t="shared" si="42"/>
        <v>0</v>
      </c>
      <c r="T297" s="78">
        <f t="shared" si="43"/>
        <v>0</v>
      </c>
      <c r="U297" s="78">
        <f t="shared" si="44"/>
        <v>0</v>
      </c>
      <c r="V297" s="79">
        <f t="shared" si="45"/>
        <v>0</v>
      </c>
    </row>
    <row r="298" spans="2:22" x14ac:dyDescent="0.35">
      <c r="B298" s="71">
        <f t="shared" si="40"/>
        <v>0</v>
      </c>
      <c r="C298" s="72"/>
      <c r="D298" s="140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41"/>
      <c r="Q298" s="99"/>
      <c r="R298" s="88">
        <f t="shared" si="41"/>
        <v>0</v>
      </c>
      <c r="S298" s="78">
        <f t="shared" si="42"/>
        <v>0</v>
      </c>
      <c r="T298" s="78">
        <f t="shared" si="43"/>
        <v>0</v>
      </c>
      <c r="U298" s="78">
        <f t="shared" si="44"/>
        <v>0</v>
      </c>
      <c r="V298" s="79">
        <f t="shared" si="45"/>
        <v>0</v>
      </c>
    </row>
    <row r="299" spans="2:22" x14ac:dyDescent="0.35">
      <c r="B299" s="71">
        <f t="shared" si="40"/>
        <v>0</v>
      </c>
      <c r="C299" s="72"/>
      <c r="D299" s="140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41"/>
      <c r="Q299" s="99"/>
      <c r="R299" s="88">
        <f t="shared" si="41"/>
        <v>0</v>
      </c>
      <c r="S299" s="78">
        <f t="shared" si="42"/>
        <v>0</v>
      </c>
      <c r="T299" s="78">
        <f t="shared" si="43"/>
        <v>0</v>
      </c>
      <c r="U299" s="78">
        <f t="shared" si="44"/>
        <v>0</v>
      </c>
      <c r="V299" s="79">
        <f t="shared" si="45"/>
        <v>0</v>
      </c>
    </row>
    <row r="300" spans="2:22" x14ac:dyDescent="0.35">
      <c r="B300" s="71">
        <f t="shared" si="40"/>
        <v>0</v>
      </c>
      <c r="C300" s="72"/>
      <c r="D300" s="140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41"/>
      <c r="Q300" s="101"/>
      <c r="R300" s="88">
        <f t="shared" si="41"/>
        <v>0</v>
      </c>
      <c r="S300" s="78">
        <f t="shared" si="42"/>
        <v>0</v>
      </c>
      <c r="T300" s="78">
        <f t="shared" si="43"/>
        <v>0</v>
      </c>
      <c r="U300" s="78">
        <f t="shared" si="44"/>
        <v>0</v>
      </c>
      <c r="V300" s="79">
        <f t="shared" si="45"/>
        <v>0</v>
      </c>
    </row>
    <row r="301" spans="2:22" x14ac:dyDescent="0.35">
      <c r="B301" s="71">
        <f t="shared" si="40"/>
        <v>0</v>
      </c>
      <c r="C301" s="72"/>
      <c r="D301" s="140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41"/>
      <c r="Q301" s="109"/>
      <c r="R301" s="88">
        <f t="shared" si="41"/>
        <v>0</v>
      </c>
      <c r="S301" s="78">
        <f t="shared" si="42"/>
        <v>0</v>
      </c>
      <c r="T301" s="78">
        <f t="shared" si="43"/>
        <v>0</v>
      </c>
      <c r="U301" s="78">
        <f t="shared" si="44"/>
        <v>0</v>
      </c>
      <c r="V301" s="79">
        <f t="shared" si="45"/>
        <v>0</v>
      </c>
    </row>
    <row r="302" spans="2:22" x14ac:dyDescent="0.35">
      <c r="B302" s="71">
        <f t="shared" si="40"/>
        <v>0</v>
      </c>
      <c r="C302" s="72"/>
      <c r="D302" s="140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41"/>
      <c r="Q302" s="87"/>
      <c r="R302" s="88">
        <f t="shared" si="41"/>
        <v>0</v>
      </c>
      <c r="S302" s="78">
        <f t="shared" si="42"/>
        <v>0</v>
      </c>
      <c r="T302" s="78">
        <f t="shared" si="43"/>
        <v>0</v>
      </c>
      <c r="U302" s="78">
        <f t="shared" si="44"/>
        <v>0</v>
      </c>
      <c r="V302" s="79">
        <f t="shared" si="45"/>
        <v>0</v>
      </c>
    </row>
    <row r="303" spans="2:22" x14ac:dyDescent="0.35">
      <c r="B303" s="71">
        <f t="shared" si="40"/>
        <v>0</v>
      </c>
      <c r="C303" s="72"/>
      <c r="D303" s="140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41"/>
      <c r="Q303" s="99"/>
      <c r="R303" s="88">
        <f t="shared" si="41"/>
        <v>0</v>
      </c>
      <c r="S303" s="78">
        <f t="shared" si="42"/>
        <v>0</v>
      </c>
      <c r="T303" s="78">
        <f t="shared" si="43"/>
        <v>0</v>
      </c>
      <c r="U303" s="78">
        <f t="shared" si="44"/>
        <v>0</v>
      </c>
      <c r="V303" s="79">
        <f t="shared" si="45"/>
        <v>0</v>
      </c>
    </row>
    <row r="304" spans="2:22" x14ac:dyDescent="0.35">
      <c r="B304" s="71">
        <f t="shared" si="40"/>
        <v>0</v>
      </c>
      <c r="C304" s="72"/>
      <c r="D304" s="140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41"/>
      <c r="Q304" s="99"/>
      <c r="R304" s="88">
        <f t="shared" si="41"/>
        <v>0</v>
      </c>
      <c r="S304" s="78">
        <f t="shared" si="42"/>
        <v>0</v>
      </c>
      <c r="T304" s="78">
        <f t="shared" si="43"/>
        <v>0</v>
      </c>
      <c r="U304" s="78">
        <f t="shared" si="44"/>
        <v>0</v>
      </c>
      <c r="V304" s="79">
        <f t="shared" si="45"/>
        <v>0</v>
      </c>
    </row>
    <row r="305" spans="2:22" x14ac:dyDescent="0.35">
      <c r="B305" s="71">
        <f t="shared" si="40"/>
        <v>0</v>
      </c>
      <c r="C305" s="72"/>
      <c r="D305" s="140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41"/>
      <c r="Q305" s="99"/>
      <c r="R305" s="88">
        <f t="shared" si="41"/>
        <v>0</v>
      </c>
      <c r="S305" s="78">
        <f t="shared" si="42"/>
        <v>0</v>
      </c>
      <c r="T305" s="78">
        <f t="shared" si="43"/>
        <v>0</v>
      </c>
      <c r="U305" s="78">
        <f t="shared" si="44"/>
        <v>0</v>
      </c>
      <c r="V305" s="79">
        <f t="shared" si="45"/>
        <v>0</v>
      </c>
    </row>
    <row r="306" spans="2:22" x14ac:dyDescent="0.35">
      <c r="B306" s="71">
        <f t="shared" si="40"/>
        <v>0</v>
      </c>
      <c r="C306" s="72"/>
      <c r="D306" s="140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41"/>
      <c r="Q306" s="101"/>
      <c r="R306" s="88">
        <f t="shared" si="41"/>
        <v>0</v>
      </c>
      <c r="S306" s="78">
        <f t="shared" si="42"/>
        <v>0</v>
      </c>
      <c r="T306" s="78">
        <f t="shared" si="43"/>
        <v>0</v>
      </c>
      <c r="U306" s="78">
        <f t="shared" si="44"/>
        <v>0</v>
      </c>
      <c r="V306" s="79">
        <f t="shared" si="45"/>
        <v>0</v>
      </c>
    </row>
    <row r="307" spans="2:22" x14ac:dyDescent="0.35">
      <c r="B307" s="71">
        <f t="shared" si="40"/>
        <v>0</v>
      </c>
      <c r="C307" s="72"/>
      <c r="D307" s="140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41"/>
      <c r="Q307" s="109"/>
      <c r="R307" s="88">
        <f t="shared" si="41"/>
        <v>0</v>
      </c>
      <c r="S307" s="78">
        <f t="shared" si="42"/>
        <v>0</v>
      </c>
      <c r="T307" s="78">
        <f t="shared" si="43"/>
        <v>0</v>
      </c>
      <c r="U307" s="78">
        <f t="shared" si="44"/>
        <v>0</v>
      </c>
      <c r="V307" s="79">
        <f t="shared" si="45"/>
        <v>0</v>
      </c>
    </row>
    <row r="308" spans="2:22" x14ac:dyDescent="0.35">
      <c r="B308" s="71">
        <f t="shared" si="40"/>
        <v>0</v>
      </c>
      <c r="C308" s="72"/>
      <c r="D308" s="140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41"/>
      <c r="Q308" s="87"/>
      <c r="R308" s="88">
        <f t="shared" si="41"/>
        <v>0</v>
      </c>
      <c r="S308" s="78">
        <f t="shared" si="42"/>
        <v>0</v>
      </c>
      <c r="T308" s="78">
        <f t="shared" si="43"/>
        <v>0</v>
      </c>
      <c r="U308" s="78">
        <f t="shared" si="44"/>
        <v>0</v>
      </c>
      <c r="V308" s="79">
        <f t="shared" si="45"/>
        <v>0</v>
      </c>
    </row>
    <row r="309" spans="2:22" x14ac:dyDescent="0.35">
      <c r="B309" s="71">
        <f t="shared" si="40"/>
        <v>0</v>
      </c>
      <c r="C309" s="72"/>
      <c r="D309" s="140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41"/>
      <c r="Q309" s="99"/>
      <c r="R309" s="88">
        <f t="shared" si="41"/>
        <v>0</v>
      </c>
      <c r="S309" s="78">
        <f t="shared" si="42"/>
        <v>0</v>
      </c>
      <c r="T309" s="78">
        <f t="shared" si="43"/>
        <v>0</v>
      </c>
      <c r="U309" s="78">
        <f t="shared" si="44"/>
        <v>0</v>
      </c>
      <c r="V309" s="79">
        <f t="shared" si="45"/>
        <v>0</v>
      </c>
    </row>
    <row r="310" spans="2:22" x14ac:dyDescent="0.35">
      <c r="B310" s="71">
        <f t="shared" si="40"/>
        <v>0</v>
      </c>
      <c r="C310" s="72"/>
      <c r="D310" s="140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41"/>
      <c r="Q310" s="99"/>
      <c r="R310" s="88">
        <f t="shared" si="41"/>
        <v>0</v>
      </c>
      <c r="S310" s="78">
        <f t="shared" si="42"/>
        <v>0</v>
      </c>
      <c r="T310" s="78">
        <f t="shared" si="43"/>
        <v>0</v>
      </c>
      <c r="U310" s="78">
        <f t="shared" si="44"/>
        <v>0</v>
      </c>
      <c r="V310" s="79">
        <f t="shared" si="45"/>
        <v>0</v>
      </c>
    </row>
    <row r="311" spans="2:22" x14ac:dyDescent="0.35">
      <c r="B311" s="71">
        <f t="shared" si="40"/>
        <v>0</v>
      </c>
      <c r="C311" s="72"/>
      <c r="D311" s="140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41"/>
      <c r="Q311" s="101"/>
      <c r="R311" s="88">
        <f t="shared" si="41"/>
        <v>0</v>
      </c>
      <c r="S311" s="78">
        <f t="shared" si="42"/>
        <v>0</v>
      </c>
      <c r="T311" s="78">
        <f t="shared" si="43"/>
        <v>0</v>
      </c>
      <c r="U311" s="78">
        <f t="shared" si="44"/>
        <v>0</v>
      </c>
      <c r="V311" s="79">
        <f t="shared" si="45"/>
        <v>0</v>
      </c>
    </row>
    <row r="312" spans="2:22" x14ac:dyDescent="0.35">
      <c r="B312" s="71">
        <f t="shared" si="40"/>
        <v>0</v>
      </c>
      <c r="C312" s="72"/>
      <c r="D312" s="140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41"/>
      <c r="Q312" s="101"/>
      <c r="R312" s="88">
        <f t="shared" si="41"/>
        <v>0</v>
      </c>
      <c r="S312" s="78">
        <f t="shared" si="42"/>
        <v>0</v>
      </c>
      <c r="T312" s="78">
        <f t="shared" si="43"/>
        <v>0</v>
      </c>
      <c r="U312" s="78">
        <f t="shared" si="44"/>
        <v>0</v>
      </c>
      <c r="V312" s="79">
        <f t="shared" si="45"/>
        <v>0</v>
      </c>
    </row>
    <row r="313" spans="2:22" x14ac:dyDescent="0.35">
      <c r="B313" s="71">
        <f t="shared" si="40"/>
        <v>0</v>
      </c>
      <c r="C313" s="72"/>
      <c r="D313" s="140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41"/>
      <c r="Q313" s="109"/>
      <c r="R313" s="88">
        <f t="shared" si="41"/>
        <v>0</v>
      </c>
      <c r="S313" s="78">
        <f t="shared" si="42"/>
        <v>0</v>
      </c>
      <c r="T313" s="78">
        <f t="shared" si="43"/>
        <v>0</v>
      </c>
      <c r="U313" s="78">
        <f t="shared" si="44"/>
        <v>0</v>
      </c>
      <c r="V313" s="79">
        <f t="shared" si="45"/>
        <v>0</v>
      </c>
    </row>
    <row r="314" spans="2:22" x14ac:dyDescent="0.35">
      <c r="B314" s="71">
        <f t="shared" si="40"/>
        <v>0</v>
      </c>
      <c r="C314" s="72"/>
      <c r="D314" s="140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41"/>
      <c r="Q314" s="87"/>
      <c r="R314" s="88">
        <f t="shared" si="41"/>
        <v>0</v>
      </c>
      <c r="S314" s="78">
        <f t="shared" si="42"/>
        <v>0</v>
      </c>
      <c r="T314" s="78">
        <f t="shared" si="43"/>
        <v>0</v>
      </c>
      <c r="U314" s="78">
        <f t="shared" si="44"/>
        <v>0</v>
      </c>
      <c r="V314" s="79">
        <f t="shared" si="45"/>
        <v>0</v>
      </c>
    </row>
    <row r="315" spans="2:22" x14ac:dyDescent="0.35">
      <c r="B315" s="71">
        <f t="shared" si="40"/>
        <v>0</v>
      </c>
      <c r="C315" s="72"/>
      <c r="D315" s="140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41"/>
      <c r="Q315" s="109"/>
      <c r="R315" s="88">
        <f t="shared" si="41"/>
        <v>0</v>
      </c>
      <c r="S315" s="78">
        <f t="shared" si="42"/>
        <v>0</v>
      </c>
      <c r="T315" s="78">
        <f t="shared" si="43"/>
        <v>0</v>
      </c>
      <c r="U315" s="78">
        <f t="shared" si="44"/>
        <v>0</v>
      </c>
      <c r="V315" s="79">
        <f t="shared" si="45"/>
        <v>0</v>
      </c>
    </row>
    <row r="316" spans="2:22" x14ac:dyDescent="0.35">
      <c r="B316" s="71">
        <f t="shared" si="40"/>
        <v>0</v>
      </c>
      <c r="C316" s="72"/>
      <c r="D316" s="140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41"/>
      <c r="Q316" s="87"/>
      <c r="R316" s="88">
        <f t="shared" si="41"/>
        <v>0</v>
      </c>
      <c r="S316" s="78">
        <f t="shared" si="42"/>
        <v>0</v>
      </c>
      <c r="T316" s="78">
        <f t="shared" si="43"/>
        <v>0</v>
      </c>
      <c r="U316" s="78">
        <f t="shared" si="44"/>
        <v>0</v>
      </c>
      <c r="V316" s="79">
        <f t="shared" si="45"/>
        <v>0</v>
      </c>
    </row>
    <row r="317" spans="2:22" x14ac:dyDescent="0.35">
      <c r="B317" s="71">
        <f t="shared" si="40"/>
        <v>0</v>
      </c>
      <c r="C317" s="72"/>
      <c r="D317" s="140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41"/>
      <c r="Q317" s="109"/>
      <c r="R317" s="88">
        <f t="shared" si="41"/>
        <v>0</v>
      </c>
      <c r="S317" s="78">
        <f t="shared" si="42"/>
        <v>0</v>
      </c>
      <c r="T317" s="78">
        <f t="shared" si="43"/>
        <v>0</v>
      </c>
      <c r="U317" s="78">
        <f t="shared" si="44"/>
        <v>0</v>
      </c>
      <c r="V317" s="79">
        <f t="shared" si="45"/>
        <v>0</v>
      </c>
    </row>
    <row r="318" spans="2:22" x14ac:dyDescent="0.35">
      <c r="B318" s="71">
        <f t="shared" si="40"/>
        <v>0</v>
      </c>
      <c r="C318" s="72"/>
      <c r="D318" s="140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41"/>
      <c r="Q318" s="87"/>
      <c r="R318" s="88">
        <f t="shared" si="41"/>
        <v>0</v>
      </c>
      <c r="S318" s="78">
        <f t="shared" si="42"/>
        <v>0</v>
      </c>
      <c r="T318" s="78">
        <f t="shared" si="43"/>
        <v>0</v>
      </c>
      <c r="U318" s="78">
        <f t="shared" si="44"/>
        <v>0</v>
      </c>
      <c r="V318" s="79">
        <f t="shared" si="45"/>
        <v>0</v>
      </c>
    </row>
    <row r="319" spans="2:22" x14ac:dyDescent="0.35">
      <c r="B319" s="71">
        <f t="shared" si="40"/>
        <v>0</v>
      </c>
      <c r="C319" s="72"/>
      <c r="D319" s="140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41"/>
      <c r="Q319" s="99"/>
      <c r="R319" s="88">
        <f t="shared" si="41"/>
        <v>0</v>
      </c>
      <c r="S319" s="78">
        <f t="shared" si="42"/>
        <v>0</v>
      </c>
      <c r="T319" s="78">
        <f t="shared" si="43"/>
        <v>0</v>
      </c>
      <c r="U319" s="78">
        <f t="shared" si="44"/>
        <v>0</v>
      </c>
      <c r="V319" s="79">
        <f t="shared" si="45"/>
        <v>0</v>
      </c>
    </row>
    <row r="320" spans="2:22" x14ac:dyDescent="0.35">
      <c r="B320" s="71">
        <f t="shared" si="40"/>
        <v>0</v>
      </c>
      <c r="C320" s="72"/>
      <c r="D320" s="140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41"/>
      <c r="Q320" s="99"/>
      <c r="R320" s="88">
        <f t="shared" si="41"/>
        <v>0</v>
      </c>
      <c r="S320" s="78">
        <f t="shared" si="42"/>
        <v>0</v>
      </c>
      <c r="T320" s="78">
        <f t="shared" si="43"/>
        <v>0</v>
      </c>
      <c r="U320" s="78">
        <f t="shared" si="44"/>
        <v>0</v>
      </c>
      <c r="V320" s="79">
        <f t="shared" si="45"/>
        <v>0</v>
      </c>
    </row>
    <row r="321" spans="2:22" x14ac:dyDescent="0.35">
      <c r="B321" s="71">
        <f t="shared" si="40"/>
        <v>0</v>
      </c>
      <c r="C321" s="72"/>
      <c r="D321" s="140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41"/>
      <c r="Q321" s="99"/>
      <c r="R321" s="88">
        <f t="shared" si="41"/>
        <v>0</v>
      </c>
      <c r="S321" s="78">
        <f t="shared" si="42"/>
        <v>0</v>
      </c>
      <c r="T321" s="78">
        <f t="shared" si="43"/>
        <v>0</v>
      </c>
      <c r="U321" s="78">
        <f t="shared" si="44"/>
        <v>0</v>
      </c>
      <c r="V321" s="79">
        <f t="shared" si="45"/>
        <v>0</v>
      </c>
    </row>
    <row r="322" spans="2:22" x14ac:dyDescent="0.35">
      <c r="B322" s="71">
        <f t="shared" si="40"/>
        <v>0</v>
      </c>
      <c r="C322" s="72"/>
      <c r="D322" s="140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41"/>
      <c r="Q322" s="99"/>
      <c r="R322" s="88">
        <f t="shared" si="41"/>
        <v>0</v>
      </c>
      <c r="S322" s="78">
        <f t="shared" si="42"/>
        <v>0</v>
      </c>
      <c r="T322" s="78">
        <f t="shared" si="43"/>
        <v>0</v>
      </c>
      <c r="U322" s="78">
        <f t="shared" si="44"/>
        <v>0</v>
      </c>
      <c r="V322" s="79">
        <f t="shared" si="45"/>
        <v>0</v>
      </c>
    </row>
    <row r="323" spans="2:22" x14ac:dyDescent="0.35">
      <c r="B323" s="71">
        <f t="shared" si="40"/>
        <v>0</v>
      </c>
      <c r="C323" s="72"/>
      <c r="D323" s="140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41"/>
      <c r="Q323" s="99"/>
      <c r="R323" s="88">
        <f t="shared" si="41"/>
        <v>0</v>
      </c>
      <c r="S323" s="78">
        <f t="shared" si="42"/>
        <v>0</v>
      </c>
      <c r="T323" s="78">
        <f t="shared" si="43"/>
        <v>0</v>
      </c>
      <c r="U323" s="78">
        <f t="shared" si="44"/>
        <v>0</v>
      </c>
      <c r="V323" s="79">
        <f t="shared" si="45"/>
        <v>0</v>
      </c>
    </row>
    <row r="324" spans="2:22" x14ac:dyDescent="0.35">
      <c r="B324" s="71">
        <f t="shared" si="40"/>
        <v>0</v>
      </c>
      <c r="C324" s="72"/>
      <c r="D324" s="140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41"/>
      <c r="Q324" s="99"/>
      <c r="R324" s="88">
        <f t="shared" si="41"/>
        <v>0</v>
      </c>
      <c r="S324" s="78">
        <f t="shared" si="42"/>
        <v>0</v>
      </c>
      <c r="T324" s="78">
        <f t="shared" si="43"/>
        <v>0</v>
      </c>
      <c r="U324" s="78">
        <f t="shared" si="44"/>
        <v>0</v>
      </c>
      <c r="V324" s="79">
        <f t="shared" si="45"/>
        <v>0</v>
      </c>
    </row>
    <row r="325" spans="2:22" x14ac:dyDescent="0.35">
      <c r="B325" s="71">
        <f t="shared" si="40"/>
        <v>0</v>
      </c>
      <c r="C325" s="72"/>
      <c r="D325" s="140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41"/>
      <c r="Q325" s="101"/>
      <c r="R325" s="88">
        <f t="shared" si="41"/>
        <v>0</v>
      </c>
      <c r="S325" s="78">
        <f t="shared" si="42"/>
        <v>0</v>
      </c>
      <c r="T325" s="78">
        <f t="shared" si="43"/>
        <v>0</v>
      </c>
      <c r="U325" s="78">
        <f t="shared" si="44"/>
        <v>0</v>
      </c>
      <c r="V325" s="79">
        <f t="shared" si="45"/>
        <v>0</v>
      </c>
    </row>
    <row r="326" spans="2:22" x14ac:dyDescent="0.35">
      <c r="B326" s="71">
        <f t="shared" si="40"/>
        <v>0</v>
      </c>
      <c r="C326" s="72"/>
      <c r="D326" s="140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41"/>
      <c r="Q326" s="109"/>
      <c r="R326" s="88">
        <f t="shared" si="41"/>
        <v>0</v>
      </c>
      <c r="S326" s="78">
        <f t="shared" si="42"/>
        <v>0</v>
      </c>
      <c r="T326" s="78">
        <f t="shared" si="43"/>
        <v>0</v>
      </c>
      <c r="U326" s="78">
        <f t="shared" si="44"/>
        <v>0</v>
      </c>
      <c r="V326" s="79">
        <f t="shared" si="45"/>
        <v>0</v>
      </c>
    </row>
    <row r="327" spans="2:22" x14ac:dyDescent="0.35">
      <c r="B327" s="71">
        <f t="shared" si="40"/>
        <v>0</v>
      </c>
      <c r="C327" s="72"/>
      <c r="D327" s="140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41"/>
      <c r="Q327" s="87"/>
      <c r="R327" s="88">
        <f t="shared" si="41"/>
        <v>0</v>
      </c>
      <c r="S327" s="78">
        <f t="shared" si="42"/>
        <v>0</v>
      </c>
      <c r="T327" s="78">
        <f t="shared" si="43"/>
        <v>0</v>
      </c>
      <c r="U327" s="78">
        <f t="shared" si="44"/>
        <v>0</v>
      </c>
      <c r="V327" s="79">
        <f t="shared" si="45"/>
        <v>0</v>
      </c>
    </row>
    <row r="328" spans="2:22" x14ac:dyDescent="0.35">
      <c r="B328" s="71">
        <f t="shared" si="40"/>
        <v>0</v>
      </c>
      <c r="C328" s="72"/>
      <c r="D328" s="140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41"/>
      <c r="Q328" s="99"/>
      <c r="R328" s="88">
        <f t="shared" si="41"/>
        <v>0</v>
      </c>
      <c r="S328" s="78">
        <f t="shared" si="42"/>
        <v>0</v>
      </c>
      <c r="T328" s="78">
        <f t="shared" si="43"/>
        <v>0</v>
      </c>
      <c r="U328" s="78">
        <f t="shared" si="44"/>
        <v>0</v>
      </c>
      <c r="V328" s="79">
        <f t="shared" si="45"/>
        <v>0</v>
      </c>
    </row>
    <row r="329" spans="2:22" x14ac:dyDescent="0.35">
      <c r="B329" s="71">
        <f t="shared" ref="B329:B392" si="46">SUM(E329:P329)</f>
        <v>0</v>
      </c>
      <c r="C329" s="72"/>
      <c r="D329" s="140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41"/>
      <c r="Q329" s="99"/>
      <c r="R329" s="88">
        <f t="shared" si="41"/>
        <v>0</v>
      </c>
      <c r="S329" s="78">
        <f t="shared" si="42"/>
        <v>0</v>
      </c>
      <c r="T329" s="78">
        <f t="shared" si="43"/>
        <v>0</v>
      </c>
      <c r="U329" s="78">
        <f t="shared" si="44"/>
        <v>0</v>
      </c>
      <c r="V329" s="79">
        <f t="shared" si="45"/>
        <v>0</v>
      </c>
    </row>
    <row r="330" spans="2:22" x14ac:dyDescent="0.35">
      <c r="B330" s="71">
        <f t="shared" si="46"/>
        <v>0</v>
      </c>
      <c r="C330" s="72"/>
      <c r="D330" s="140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41"/>
      <c r="Q330" s="99"/>
      <c r="R330" s="88">
        <f t="shared" si="41"/>
        <v>0</v>
      </c>
      <c r="S330" s="78">
        <f t="shared" si="42"/>
        <v>0</v>
      </c>
      <c r="T330" s="78">
        <f t="shared" si="43"/>
        <v>0</v>
      </c>
      <c r="U330" s="78">
        <f t="shared" si="44"/>
        <v>0</v>
      </c>
      <c r="V330" s="79">
        <f t="shared" si="45"/>
        <v>0</v>
      </c>
    </row>
    <row r="331" spans="2:22" x14ac:dyDescent="0.35">
      <c r="B331" s="71">
        <f t="shared" si="46"/>
        <v>0</v>
      </c>
      <c r="C331" s="72"/>
      <c r="D331" s="140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41"/>
      <c r="Q331" s="99"/>
      <c r="R331" s="88">
        <f t="shared" ref="R331:R394" si="47">SUM(E331:P331)</f>
        <v>0</v>
      </c>
      <c r="S331" s="78">
        <f t="shared" ref="S331:S394" si="48">SUM(H331:P331)/9*12</f>
        <v>0</v>
      </c>
      <c r="T331" s="78">
        <f t="shared" ref="T331:T394" si="49">SUM(K331:P331)*2</f>
        <v>0</v>
      </c>
      <c r="U331" s="78">
        <f t="shared" ref="U331:U394" si="50">SUM(N331:P331)*4</f>
        <v>0</v>
      </c>
      <c r="V331" s="79">
        <f t="shared" ref="V331:V394" si="51">SUM(P331)*12</f>
        <v>0</v>
      </c>
    </row>
    <row r="332" spans="2:22" x14ac:dyDescent="0.35">
      <c r="B332" s="71">
        <f t="shared" si="46"/>
        <v>0</v>
      </c>
      <c r="C332" s="72"/>
      <c r="D332" s="140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41"/>
      <c r="Q332" s="99"/>
      <c r="R332" s="88">
        <f t="shared" si="47"/>
        <v>0</v>
      </c>
      <c r="S332" s="78">
        <f t="shared" si="48"/>
        <v>0</v>
      </c>
      <c r="T332" s="78">
        <f t="shared" si="49"/>
        <v>0</v>
      </c>
      <c r="U332" s="78">
        <f t="shared" si="50"/>
        <v>0</v>
      </c>
      <c r="V332" s="79">
        <f t="shared" si="51"/>
        <v>0</v>
      </c>
    </row>
    <row r="333" spans="2:22" x14ac:dyDescent="0.35">
      <c r="B333" s="71">
        <f t="shared" si="46"/>
        <v>0</v>
      </c>
      <c r="C333" s="72"/>
      <c r="D333" s="140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41"/>
      <c r="Q333" s="99"/>
      <c r="R333" s="88">
        <f t="shared" si="47"/>
        <v>0</v>
      </c>
      <c r="S333" s="78">
        <f t="shared" si="48"/>
        <v>0</v>
      </c>
      <c r="T333" s="78">
        <f t="shared" si="49"/>
        <v>0</v>
      </c>
      <c r="U333" s="78">
        <f t="shared" si="50"/>
        <v>0</v>
      </c>
      <c r="V333" s="79">
        <f t="shared" si="51"/>
        <v>0</v>
      </c>
    </row>
    <row r="334" spans="2:22" x14ac:dyDescent="0.35">
      <c r="B334" s="71">
        <f t="shared" si="46"/>
        <v>0</v>
      </c>
      <c r="C334" s="72"/>
      <c r="D334" s="140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41"/>
      <c r="Q334" s="101"/>
      <c r="R334" s="88">
        <f t="shared" si="47"/>
        <v>0</v>
      </c>
      <c r="S334" s="78">
        <f t="shared" si="48"/>
        <v>0</v>
      </c>
      <c r="T334" s="78">
        <f t="shared" si="49"/>
        <v>0</v>
      </c>
      <c r="U334" s="78">
        <f t="shared" si="50"/>
        <v>0</v>
      </c>
      <c r="V334" s="79">
        <f t="shared" si="51"/>
        <v>0</v>
      </c>
    </row>
    <row r="335" spans="2:22" x14ac:dyDescent="0.35">
      <c r="B335" s="71">
        <f t="shared" si="46"/>
        <v>0</v>
      </c>
      <c r="C335" s="72"/>
      <c r="D335" s="140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41"/>
      <c r="Q335" s="109"/>
      <c r="R335" s="88">
        <f t="shared" si="47"/>
        <v>0</v>
      </c>
      <c r="S335" s="78">
        <f t="shared" si="48"/>
        <v>0</v>
      </c>
      <c r="T335" s="78">
        <f t="shared" si="49"/>
        <v>0</v>
      </c>
      <c r="U335" s="78">
        <f t="shared" si="50"/>
        <v>0</v>
      </c>
      <c r="V335" s="79">
        <f t="shared" si="51"/>
        <v>0</v>
      </c>
    </row>
    <row r="336" spans="2:22" x14ac:dyDescent="0.35">
      <c r="B336" s="71">
        <f t="shared" si="46"/>
        <v>0</v>
      </c>
      <c r="C336" s="72"/>
      <c r="D336" s="140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41"/>
      <c r="Q336" s="87"/>
      <c r="R336" s="88">
        <f t="shared" si="47"/>
        <v>0</v>
      </c>
      <c r="S336" s="78">
        <f t="shared" si="48"/>
        <v>0</v>
      </c>
      <c r="T336" s="78">
        <f t="shared" si="49"/>
        <v>0</v>
      </c>
      <c r="U336" s="78">
        <f t="shared" si="50"/>
        <v>0</v>
      </c>
      <c r="V336" s="79">
        <f t="shared" si="51"/>
        <v>0</v>
      </c>
    </row>
    <row r="337" spans="2:22" x14ac:dyDescent="0.35">
      <c r="B337" s="71">
        <f t="shared" si="46"/>
        <v>0</v>
      </c>
      <c r="C337" s="72"/>
      <c r="D337" s="140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41"/>
      <c r="Q337" s="99"/>
      <c r="R337" s="88">
        <f t="shared" si="47"/>
        <v>0</v>
      </c>
      <c r="S337" s="78">
        <f t="shared" si="48"/>
        <v>0</v>
      </c>
      <c r="T337" s="78">
        <f t="shared" si="49"/>
        <v>0</v>
      </c>
      <c r="U337" s="78">
        <f t="shared" si="50"/>
        <v>0</v>
      </c>
      <c r="V337" s="79">
        <f t="shared" si="51"/>
        <v>0</v>
      </c>
    </row>
    <row r="338" spans="2:22" x14ac:dyDescent="0.35">
      <c r="B338" s="71">
        <f t="shared" si="46"/>
        <v>0</v>
      </c>
      <c r="C338" s="72"/>
      <c r="D338" s="140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41"/>
      <c r="Q338" s="99"/>
      <c r="R338" s="88">
        <f t="shared" si="47"/>
        <v>0</v>
      </c>
      <c r="S338" s="78">
        <f t="shared" si="48"/>
        <v>0</v>
      </c>
      <c r="T338" s="78">
        <f t="shared" si="49"/>
        <v>0</v>
      </c>
      <c r="U338" s="78">
        <f t="shared" si="50"/>
        <v>0</v>
      </c>
      <c r="V338" s="79">
        <f t="shared" si="51"/>
        <v>0</v>
      </c>
    </row>
    <row r="339" spans="2:22" x14ac:dyDescent="0.35">
      <c r="B339" s="71">
        <f t="shared" si="46"/>
        <v>0</v>
      </c>
      <c r="C339" s="72"/>
      <c r="D339" s="140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41"/>
      <c r="Q339" s="101"/>
      <c r="R339" s="88">
        <f t="shared" si="47"/>
        <v>0</v>
      </c>
      <c r="S339" s="78">
        <f t="shared" si="48"/>
        <v>0</v>
      </c>
      <c r="T339" s="78">
        <f t="shared" si="49"/>
        <v>0</v>
      </c>
      <c r="U339" s="78">
        <f t="shared" si="50"/>
        <v>0</v>
      </c>
      <c r="V339" s="79">
        <f t="shared" si="51"/>
        <v>0</v>
      </c>
    </row>
    <row r="340" spans="2:22" x14ac:dyDescent="0.35">
      <c r="B340" s="71">
        <f t="shared" si="46"/>
        <v>0</v>
      </c>
      <c r="C340" s="72"/>
      <c r="D340" s="140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41"/>
      <c r="Q340" s="101"/>
      <c r="R340" s="88">
        <f t="shared" si="47"/>
        <v>0</v>
      </c>
      <c r="S340" s="78">
        <f t="shared" si="48"/>
        <v>0</v>
      </c>
      <c r="T340" s="78">
        <f t="shared" si="49"/>
        <v>0</v>
      </c>
      <c r="U340" s="78">
        <f t="shared" si="50"/>
        <v>0</v>
      </c>
      <c r="V340" s="79">
        <f t="shared" si="51"/>
        <v>0</v>
      </c>
    </row>
    <row r="341" spans="2:22" x14ac:dyDescent="0.35">
      <c r="B341" s="71">
        <f t="shared" si="46"/>
        <v>0</v>
      </c>
      <c r="C341" s="72"/>
      <c r="D341" s="140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41"/>
      <c r="Q341" s="109"/>
      <c r="R341" s="88">
        <f t="shared" si="47"/>
        <v>0</v>
      </c>
      <c r="S341" s="78">
        <f t="shared" si="48"/>
        <v>0</v>
      </c>
      <c r="T341" s="78">
        <f t="shared" si="49"/>
        <v>0</v>
      </c>
      <c r="U341" s="78">
        <f t="shared" si="50"/>
        <v>0</v>
      </c>
      <c r="V341" s="79">
        <f t="shared" si="51"/>
        <v>0</v>
      </c>
    </row>
    <row r="342" spans="2:22" x14ac:dyDescent="0.35">
      <c r="B342" s="71">
        <f t="shared" si="46"/>
        <v>0</v>
      </c>
      <c r="C342" s="72"/>
      <c r="D342" s="140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41"/>
      <c r="Q342" s="87"/>
      <c r="R342" s="88">
        <f t="shared" si="47"/>
        <v>0</v>
      </c>
      <c r="S342" s="78">
        <f t="shared" si="48"/>
        <v>0</v>
      </c>
      <c r="T342" s="78">
        <f t="shared" si="49"/>
        <v>0</v>
      </c>
      <c r="U342" s="78">
        <f t="shared" si="50"/>
        <v>0</v>
      </c>
      <c r="V342" s="79">
        <f t="shared" si="51"/>
        <v>0</v>
      </c>
    </row>
    <row r="343" spans="2:22" x14ac:dyDescent="0.35">
      <c r="B343" s="71">
        <f t="shared" si="46"/>
        <v>0</v>
      </c>
      <c r="C343" s="72"/>
      <c r="D343" s="140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41"/>
      <c r="Q343" s="99"/>
      <c r="R343" s="88">
        <f t="shared" si="47"/>
        <v>0</v>
      </c>
      <c r="S343" s="78">
        <f t="shared" si="48"/>
        <v>0</v>
      </c>
      <c r="T343" s="78">
        <f t="shared" si="49"/>
        <v>0</v>
      </c>
      <c r="U343" s="78">
        <f t="shared" si="50"/>
        <v>0</v>
      </c>
      <c r="V343" s="79">
        <f t="shared" si="51"/>
        <v>0</v>
      </c>
    </row>
    <row r="344" spans="2:22" x14ac:dyDescent="0.35">
      <c r="B344" s="71">
        <f t="shared" si="46"/>
        <v>0</v>
      </c>
      <c r="C344" s="72"/>
      <c r="D344" s="140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41"/>
      <c r="Q344" s="99"/>
      <c r="R344" s="88">
        <f t="shared" si="47"/>
        <v>0</v>
      </c>
      <c r="S344" s="78">
        <f t="shared" si="48"/>
        <v>0</v>
      </c>
      <c r="T344" s="78">
        <f t="shared" si="49"/>
        <v>0</v>
      </c>
      <c r="U344" s="78">
        <f t="shared" si="50"/>
        <v>0</v>
      </c>
      <c r="V344" s="79">
        <f t="shared" si="51"/>
        <v>0</v>
      </c>
    </row>
    <row r="345" spans="2:22" x14ac:dyDescent="0.35">
      <c r="B345" s="71">
        <f t="shared" si="46"/>
        <v>0</v>
      </c>
      <c r="C345" s="72"/>
      <c r="D345" s="140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41"/>
      <c r="Q345" s="99"/>
      <c r="R345" s="88">
        <f t="shared" si="47"/>
        <v>0</v>
      </c>
      <c r="S345" s="78">
        <f t="shared" si="48"/>
        <v>0</v>
      </c>
      <c r="T345" s="78">
        <f t="shared" si="49"/>
        <v>0</v>
      </c>
      <c r="U345" s="78">
        <f t="shared" si="50"/>
        <v>0</v>
      </c>
      <c r="V345" s="79">
        <f t="shared" si="51"/>
        <v>0</v>
      </c>
    </row>
    <row r="346" spans="2:22" x14ac:dyDescent="0.35">
      <c r="B346" s="71">
        <f t="shared" si="46"/>
        <v>0</v>
      </c>
      <c r="C346" s="72"/>
      <c r="D346" s="140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41"/>
      <c r="Q346" s="101"/>
      <c r="R346" s="88">
        <f t="shared" si="47"/>
        <v>0</v>
      </c>
      <c r="S346" s="78">
        <f t="shared" si="48"/>
        <v>0</v>
      </c>
      <c r="T346" s="78">
        <f t="shared" si="49"/>
        <v>0</v>
      </c>
      <c r="U346" s="78">
        <f t="shared" si="50"/>
        <v>0</v>
      </c>
      <c r="V346" s="79">
        <f t="shared" si="51"/>
        <v>0</v>
      </c>
    </row>
    <row r="347" spans="2:22" x14ac:dyDescent="0.35">
      <c r="B347" s="71">
        <f t="shared" si="46"/>
        <v>0</v>
      </c>
      <c r="C347" s="72"/>
      <c r="D347" s="140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41"/>
      <c r="Q347" s="101"/>
      <c r="R347" s="88">
        <f t="shared" si="47"/>
        <v>0</v>
      </c>
      <c r="S347" s="78">
        <f t="shared" si="48"/>
        <v>0</v>
      </c>
      <c r="T347" s="78">
        <f t="shared" si="49"/>
        <v>0</v>
      </c>
      <c r="U347" s="78">
        <f t="shared" si="50"/>
        <v>0</v>
      </c>
      <c r="V347" s="79">
        <f t="shared" si="51"/>
        <v>0</v>
      </c>
    </row>
    <row r="348" spans="2:22" x14ac:dyDescent="0.35">
      <c r="B348" s="71">
        <f t="shared" si="46"/>
        <v>0</v>
      </c>
      <c r="C348" s="72"/>
      <c r="D348" s="140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41"/>
      <c r="Q348" s="109"/>
      <c r="R348" s="88">
        <f t="shared" si="47"/>
        <v>0</v>
      </c>
      <c r="S348" s="78">
        <f t="shared" si="48"/>
        <v>0</v>
      </c>
      <c r="T348" s="78">
        <f t="shared" si="49"/>
        <v>0</v>
      </c>
      <c r="U348" s="78">
        <f t="shared" si="50"/>
        <v>0</v>
      </c>
      <c r="V348" s="79">
        <f t="shared" si="51"/>
        <v>0</v>
      </c>
    </row>
    <row r="349" spans="2:22" x14ac:dyDescent="0.35">
      <c r="B349" s="71">
        <f t="shared" si="46"/>
        <v>0</v>
      </c>
      <c r="C349" s="72"/>
      <c r="D349" s="140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41"/>
      <c r="Q349" s="99"/>
      <c r="R349" s="88">
        <f t="shared" si="47"/>
        <v>0</v>
      </c>
      <c r="S349" s="78">
        <f t="shared" si="48"/>
        <v>0</v>
      </c>
      <c r="T349" s="78">
        <f t="shared" si="49"/>
        <v>0</v>
      </c>
      <c r="U349" s="78">
        <f t="shared" si="50"/>
        <v>0</v>
      </c>
      <c r="V349" s="79">
        <f t="shared" si="51"/>
        <v>0</v>
      </c>
    </row>
    <row r="350" spans="2:22" x14ac:dyDescent="0.35">
      <c r="B350" s="71">
        <f t="shared" si="46"/>
        <v>0</v>
      </c>
      <c r="C350" s="72"/>
      <c r="D350" s="140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41"/>
      <c r="R350" s="88">
        <f t="shared" si="47"/>
        <v>0</v>
      </c>
      <c r="S350" s="78">
        <f t="shared" si="48"/>
        <v>0</v>
      </c>
      <c r="T350" s="78">
        <f t="shared" si="49"/>
        <v>0</v>
      </c>
      <c r="U350" s="78">
        <f t="shared" si="50"/>
        <v>0</v>
      </c>
      <c r="V350" s="79">
        <f t="shared" si="51"/>
        <v>0</v>
      </c>
    </row>
    <row r="351" spans="2:22" x14ac:dyDescent="0.35">
      <c r="B351" s="71">
        <f t="shared" si="46"/>
        <v>0</v>
      </c>
      <c r="C351" s="72"/>
      <c r="D351" s="140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41"/>
      <c r="R351" s="88">
        <f t="shared" si="47"/>
        <v>0</v>
      </c>
      <c r="S351" s="78">
        <f t="shared" si="48"/>
        <v>0</v>
      </c>
      <c r="T351" s="78">
        <f t="shared" si="49"/>
        <v>0</v>
      </c>
      <c r="U351" s="78">
        <f t="shared" si="50"/>
        <v>0</v>
      </c>
      <c r="V351" s="79">
        <f t="shared" si="51"/>
        <v>0</v>
      </c>
    </row>
    <row r="352" spans="2:22" x14ac:dyDescent="0.35">
      <c r="B352" s="71">
        <f t="shared" si="46"/>
        <v>0</v>
      </c>
      <c r="C352" s="72"/>
      <c r="D352" s="140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41"/>
      <c r="R352" s="88">
        <f t="shared" si="47"/>
        <v>0</v>
      </c>
      <c r="S352" s="78">
        <f t="shared" si="48"/>
        <v>0</v>
      </c>
      <c r="T352" s="78">
        <f t="shared" si="49"/>
        <v>0</v>
      </c>
      <c r="U352" s="78">
        <f t="shared" si="50"/>
        <v>0</v>
      </c>
      <c r="V352" s="79">
        <f t="shared" si="51"/>
        <v>0</v>
      </c>
    </row>
    <row r="353" spans="2:22" x14ac:dyDescent="0.35">
      <c r="B353" s="71">
        <f t="shared" si="46"/>
        <v>0</v>
      </c>
      <c r="C353" s="72"/>
      <c r="D353" s="140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41"/>
      <c r="R353" s="88">
        <f t="shared" si="47"/>
        <v>0</v>
      </c>
      <c r="S353" s="78">
        <f t="shared" si="48"/>
        <v>0</v>
      </c>
      <c r="T353" s="78">
        <f t="shared" si="49"/>
        <v>0</v>
      </c>
      <c r="U353" s="78">
        <f t="shared" si="50"/>
        <v>0</v>
      </c>
      <c r="V353" s="79">
        <f t="shared" si="51"/>
        <v>0</v>
      </c>
    </row>
    <row r="354" spans="2:22" x14ac:dyDescent="0.35">
      <c r="B354" s="71">
        <f t="shared" si="46"/>
        <v>0</v>
      </c>
      <c r="C354" s="72"/>
      <c r="D354" s="140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41"/>
      <c r="R354" s="88">
        <f t="shared" si="47"/>
        <v>0</v>
      </c>
      <c r="S354" s="78">
        <f t="shared" si="48"/>
        <v>0</v>
      </c>
      <c r="T354" s="78">
        <f t="shared" si="49"/>
        <v>0</v>
      </c>
      <c r="U354" s="78">
        <f t="shared" si="50"/>
        <v>0</v>
      </c>
      <c r="V354" s="79">
        <f t="shared" si="51"/>
        <v>0</v>
      </c>
    </row>
    <row r="355" spans="2:22" x14ac:dyDescent="0.35">
      <c r="B355" s="71">
        <f t="shared" si="46"/>
        <v>0</v>
      </c>
      <c r="C355" s="72"/>
      <c r="D355" s="140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41"/>
      <c r="R355" s="88">
        <f t="shared" si="47"/>
        <v>0</v>
      </c>
      <c r="S355" s="78">
        <f t="shared" si="48"/>
        <v>0</v>
      </c>
      <c r="T355" s="78">
        <f t="shared" si="49"/>
        <v>0</v>
      </c>
      <c r="U355" s="78">
        <f t="shared" si="50"/>
        <v>0</v>
      </c>
      <c r="V355" s="79">
        <f t="shared" si="51"/>
        <v>0</v>
      </c>
    </row>
    <row r="356" spans="2:22" x14ac:dyDescent="0.35">
      <c r="B356" s="71">
        <f t="shared" si="46"/>
        <v>0</v>
      </c>
      <c r="C356" s="72"/>
      <c r="D356" s="140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41"/>
      <c r="R356" s="88">
        <f t="shared" si="47"/>
        <v>0</v>
      </c>
      <c r="S356" s="78">
        <f t="shared" si="48"/>
        <v>0</v>
      </c>
      <c r="T356" s="78">
        <f t="shared" si="49"/>
        <v>0</v>
      </c>
      <c r="U356" s="78">
        <f t="shared" si="50"/>
        <v>0</v>
      </c>
      <c r="V356" s="79">
        <f t="shared" si="51"/>
        <v>0</v>
      </c>
    </row>
    <row r="357" spans="2:22" x14ac:dyDescent="0.35">
      <c r="B357" s="71">
        <f t="shared" si="46"/>
        <v>0</v>
      </c>
      <c r="C357" s="72"/>
      <c r="D357" s="140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41"/>
      <c r="R357" s="88">
        <f t="shared" si="47"/>
        <v>0</v>
      </c>
      <c r="S357" s="78">
        <f t="shared" si="48"/>
        <v>0</v>
      </c>
      <c r="T357" s="78">
        <f t="shared" si="49"/>
        <v>0</v>
      </c>
      <c r="U357" s="78">
        <f t="shared" si="50"/>
        <v>0</v>
      </c>
      <c r="V357" s="79">
        <f t="shared" si="51"/>
        <v>0</v>
      </c>
    </row>
    <row r="358" spans="2:22" x14ac:dyDescent="0.35">
      <c r="B358" s="71">
        <f t="shared" si="46"/>
        <v>0</v>
      </c>
      <c r="C358" s="72"/>
      <c r="D358" s="140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41"/>
      <c r="R358" s="88">
        <f t="shared" si="47"/>
        <v>0</v>
      </c>
      <c r="S358" s="78">
        <f t="shared" si="48"/>
        <v>0</v>
      </c>
      <c r="T358" s="78">
        <f t="shared" si="49"/>
        <v>0</v>
      </c>
      <c r="U358" s="78">
        <f t="shared" si="50"/>
        <v>0</v>
      </c>
      <c r="V358" s="79">
        <f t="shared" si="51"/>
        <v>0</v>
      </c>
    </row>
    <row r="359" spans="2:22" x14ac:dyDescent="0.35">
      <c r="B359" s="71">
        <f t="shared" si="46"/>
        <v>0</v>
      </c>
      <c r="C359" s="72"/>
      <c r="D359" s="140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41"/>
      <c r="R359" s="88">
        <f t="shared" si="47"/>
        <v>0</v>
      </c>
      <c r="S359" s="78">
        <f t="shared" si="48"/>
        <v>0</v>
      </c>
      <c r="T359" s="78">
        <f t="shared" si="49"/>
        <v>0</v>
      </c>
      <c r="U359" s="78">
        <f t="shared" si="50"/>
        <v>0</v>
      </c>
      <c r="V359" s="79">
        <f t="shared" si="51"/>
        <v>0</v>
      </c>
    </row>
    <row r="360" spans="2:22" x14ac:dyDescent="0.35">
      <c r="B360" s="71">
        <f t="shared" si="46"/>
        <v>0</v>
      </c>
      <c r="C360" s="72"/>
      <c r="D360" s="140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41"/>
      <c r="R360" s="88">
        <f t="shared" si="47"/>
        <v>0</v>
      </c>
      <c r="S360" s="78">
        <f t="shared" si="48"/>
        <v>0</v>
      </c>
      <c r="T360" s="78">
        <f t="shared" si="49"/>
        <v>0</v>
      </c>
      <c r="U360" s="78">
        <f t="shared" si="50"/>
        <v>0</v>
      </c>
      <c r="V360" s="79">
        <f t="shared" si="51"/>
        <v>0</v>
      </c>
    </row>
    <row r="361" spans="2:22" x14ac:dyDescent="0.35">
      <c r="B361" s="71">
        <f t="shared" si="46"/>
        <v>0</v>
      </c>
      <c r="C361" s="72"/>
      <c r="D361" s="140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41"/>
      <c r="R361" s="88">
        <f t="shared" si="47"/>
        <v>0</v>
      </c>
      <c r="S361" s="78">
        <f t="shared" si="48"/>
        <v>0</v>
      </c>
      <c r="T361" s="78">
        <f t="shared" si="49"/>
        <v>0</v>
      </c>
      <c r="U361" s="78">
        <f t="shared" si="50"/>
        <v>0</v>
      </c>
      <c r="V361" s="79">
        <f t="shared" si="51"/>
        <v>0</v>
      </c>
    </row>
    <row r="362" spans="2:22" x14ac:dyDescent="0.35">
      <c r="B362" s="71">
        <f t="shared" si="46"/>
        <v>0</v>
      </c>
      <c r="C362" s="72"/>
      <c r="D362" s="140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41"/>
      <c r="R362" s="88">
        <f t="shared" si="47"/>
        <v>0</v>
      </c>
      <c r="S362" s="78">
        <f t="shared" si="48"/>
        <v>0</v>
      </c>
      <c r="T362" s="78">
        <f t="shared" si="49"/>
        <v>0</v>
      </c>
      <c r="U362" s="78">
        <f t="shared" si="50"/>
        <v>0</v>
      </c>
      <c r="V362" s="79">
        <f t="shared" si="51"/>
        <v>0</v>
      </c>
    </row>
    <row r="363" spans="2:22" x14ac:dyDescent="0.35">
      <c r="B363" s="71">
        <f t="shared" si="46"/>
        <v>0</v>
      </c>
      <c r="C363" s="72"/>
      <c r="D363" s="140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41"/>
      <c r="R363" s="88">
        <f t="shared" si="47"/>
        <v>0</v>
      </c>
      <c r="S363" s="78">
        <f t="shared" si="48"/>
        <v>0</v>
      </c>
      <c r="T363" s="78">
        <f t="shared" si="49"/>
        <v>0</v>
      </c>
      <c r="U363" s="78">
        <f t="shared" si="50"/>
        <v>0</v>
      </c>
      <c r="V363" s="79">
        <f t="shared" si="51"/>
        <v>0</v>
      </c>
    </row>
    <row r="364" spans="2:22" x14ac:dyDescent="0.35">
      <c r="B364" s="71">
        <f t="shared" si="46"/>
        <v>0</v>
      </c>
      <c r="C364" s="72"/>
      <c r="D364" s="140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41"/>
      <c r="R364" s="88">
        <f t="shared" si="47"/>
        <v>0</v>
      </c>
      <c r="S364" s="78">
        <f t="shared" si="48"/>
        <v>0</v>
      </c>
      <c r="T364" s="78">
        <f t="shared" si="49"/>
        <v>0</v>
      </c>
      <c r="U364" s="78">
        <f t="shared" si="50"/>
        <v>0</v>
      </c>
      <c r="V364" s="79">
        <f t="shared" si="51"/>
        <v>0</v>
      </c>
    </row>
    <row r="365" spans="2:22" x14ac:dyDescent="0.35">
      <c r="B365" s="71">
        <f t="shared" si="46"/>
        <v>0</v>
      </c>
      <c r="C365" s="72"/>
      <c r="D365" s="140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41"/>
      <c r="R365" s="88">
        <f t="shared" si="47"/>
        <v>0</v>
      </c>
      <c r="S365" s="78">
        <f t="shared" si="48"/>
        <v>0</v>
      </c>
      <c r="T365" s="78">
        <f t="shared" si="49"/>
        <v>0</v>
      </c>
      <c r="U365" s="78">
        <f t="shared" si="50"/>
        <v>0</v>
      </c>
      <c r="V365" s="79">
        <f t="shared" si="51"/>
        <v>0</v>
      </c>
    </row>
    <row r="366" spans="2:22" x14ac:dyDescent="0.35">
      <c r="B366" s="71">
        <f t="shared" si="46"/>
        <v>0</v>
      </c>
      <c r="C366" s="72"/>
      <c r="D366" s="140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41"/>
      <c r="R366" s="88">
        <f t="shared" si="47"/>
        <v>0</v>
      </c>
      <c r="S366" s="78">
        <f t="shared" si="48"/>
        <v>0</v>
      </c>
      <c r="T366" s="78">
        <f t="shared" si="49"/>
        <v>0</v>
      </c>
      <c r="U366" s="78">
        <f t="shared" si="50"/>
        <v>0</v>
      </c>
      <c r="V366" s="79">
        <f t="shared" si="51"/>
        <v>0</v>
      </c>
    </row>
    <row r="367" spans="2:22" x14ac:dyDescent="0.35">
      <c r="B367" s="71">
        <f t="shared" si="46"/>
        <v>0</v>
      </c>
      <c r="C367" s="72"/>
      <c r="D367" s="140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41"/>
      <c r="R367" s="88">
        <f t="shared" si="47"/>
        <v>0</v>
      </c>
      <c r="S367" s="78">
        <f t="shared" si="48"/>
        <v>0</v>
      </c>
      <c r="T367" s="78">
        <f t="shared" si="49"/>
        <v>0</v>
      </c>
      <c r="U367" s="78">
        <f t="shared" si="50"/>
        <v>0</v>
      </c>
      <c r="V367" s="79">
        <f t="shared" si="51"/>
        <v>0</v>
      </c>
    </row>
    <row r="368" spans="2:22" x14ac:dyDescent="0.35">
      <c r="B368" s="71">
        <f t="shared" si="46"/>
        <v>0</v>
      </c>
      <c r="C368" s="72"/>
      <c r="D368" s="140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41"/>
      <c r="R368" s="88">
        <f t="shared" si="47"/>
        <v>0</v>
      </c>
      <c r="S368" s="78">
        <f t="shared" si="48"/>
        <v>0</v>
      </c>
      <c r="T368" s="78">
        <f t="shared" si="49"/>
        <v>0</v>
      </c>
      <c r="U368" s="78">
        <f t="shared" si="50"/>
        <v>0</v>
      </c>
      <c r="V368" s="79">
        <f t="shared" si="51"/>
        <v>0</v>
      </c>
    </row>
    <row r="369" spans="2:22" x14ac:dyDescent="0.35">
      <c r="B369" s="71">
        <f t="shared" si="46"/>
        <v>0</v>
      </c>
      <c r="C369" s="72"/>
      <c r="D369" s="140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41"/>
      <c r="R369" s="88">
        <f t="shared" si="47"/>
        <v>0</v>
      </c>
      <c r="S369" s="78">
        <f t="shared" si="48"/>
        <v>0</v>
      </c>
      <c r="T369" s="78">
        <f t="shared" si="49"/>
        <v>0</v>
      </c>
      <c r="U369" s="78">
        <f t="shared" si="50"/>
        <v>0</v>
      </c>
      <c r="V369" s="79">
        <f t="shared" si="51"/>
        <v>0</v>
      </c>
    </row>
    <row r="370" spans="2:22" x14ac:dyDescent="0.35">
      <c r="B370" s="71">
        <f t="shared" si="46"/>
        <v>0</v>
      </c>
      <c r="C370" s="72"/>
      <c r="D370" s="140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41"/>
      <c r="R370" s="88">
        <f t="shared" si="47"/>
        <v>0</v>
      </c>
      <c r="S370" s="78">
        <f t="shared" si="48"/>
        <v>0</v>
      </c>
      <c r="T370" s="78">
        <f t="shared" si="49"/>
        <v>0</v>
      </c>
      <c r="U370" s="78">
        <f t="shared" si="50"/>
        <v>0</v>
      </c>
      <c r="V370" s="79">
        <f t="shared" si="51"/>
        <v>0</v>
      </c>
    </row>
    <row r="371" spans="2:22" x14ac:dyDescent="0.35">
      <c r="B371" s="71">
        <f t="shared" si="46"/>
        <v>0</v>
      </c>
      <c r="C371" s="72"/>
      <c r="D371" s="140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41"/>
      <c r="R371" s="88">
        <f t="shared" si="47"/>
        <v>0</v>
      </c>
      <c r="S371" s="78">
        <f t="shared" si="48"/>
        <v>0</v>
      </c>
      <c r="T371" s="78">
        <f t="shared" si="49"/>
        <v>0</v>
      </c>
      <c r="U371" s="78">
        <f t="shared" si="50"/>
        <v>0</v>
      </c>
      <c r="V371" s="79">
        <f t="shared" si="51"/>
        <v>0</v>
      </c>
    </row>
    <row r="372" spans="2:22" x14ac:dyDescent="0.35">
      <c r="B372" s="71">
        <f t="shared" si="46"/>
        <v>0</v>
      </c>
      <c r="C372" s="72"/>
      <c r="D372" s="140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41"/>
      <c r="R372" s="88">
        <f t="shared" si="47"/>
        <v>0</v>
      </c>
      <c r="S372" s="78">
        <f t="shared" si="48"/>
        <v>0</v>
      </c>
      <c r="T372" s="78">
        <f t="shared" si="49"/>
        <v>0</v>
      </c>
      <c r="U372" s="78">
        <f t="shared" si="50"/>
        <v>0</v>
      </c>
      <c r="V372" s="79">
        <f t="shared" si="51"/>
        <v>0</v>
      </c>
    </row>
    <row r="373" spans="2:22" x14ac:dyDescent="0.35">
      <c r="B373" s="71">
        <f t="shared" si="46"/>
        <v>0</v>
      </c>
      <c r="C373" s="72"/>
      <c r="D373" s="140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41"/>
      <c r="R373" s="88">
        <f t="shared" si="47"/>
        <v>0</v>
      </c>
      <c r="S373" s="78">
        <f t="shared" si="48"/>
        <v>0</v>
      </c>
      <c r="T373" s="78">
        <f t="shared" si="49"/>
        <v>0</v>
      </c>
      <c r="U373" s="78">
        <f t="shared" si="50"/>
        <v>0</v>
      </c>
      <c r="V373" s="79">
        <f t="shared" si="51"/>
        <v>0</v>
      </c>
    </row>
    <row r="374" spans="2:22" x14ac:dyDescent="0.35">
      <c r="B374" s="71">
        <f t="shared" si="46"/>
        <v>0</v>
      </c>
      <c r="C374" s="72"/>
      <c r="D374" s="140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41"/>
      <c r="R374" s="88">
        <f t="shared" si="47"/>
        <v>0</v>
      </c>
      <c r="S374" s="78">
        <f t="shared" si="48"/>
        <v>0</v>
      </c>
      <c r="T374" s="78">
        <f t="shared" si="49"/>
        <v>0</v>
      </c>
      <c r="U374" s="78">
        <f t="shared" si="50"/>
        <v>0</v>
      </c>
      <c r="V374" s="79">
        <f t="shared" si="51"/>
        <v>0</v>
      </c>
    </row>
    <row r="375" spans="2:22" x14ac:dyDescent="0.35">
      <c r="B375" s="71">
        <f t="shared" si="46"/>
        <v>0</v>
      </c>
      <c r="C375" s="72"/>
      <c r="D375" s="140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41"/>
      <c r="R375" s="88">
        <f t="shared" si="47"/>
        <v>0</v>
      </c>
      <c r="S375" s="78">
        <f t="shared" si="48"/>
        <v>0</v>
      </c>
      <c r="T375" s="78">
        <f t="shared" si="49"/>
        <v>0</v>
      </c>
      <c r="U375" s="78">
        <f t="shared" si="50"/>
        <v>0</v>
      </c>
      <c r="V375" s="79">
        <f t="shared" si="51"/>
        <v>0</v>
      </c>
    </row>
    <row r="376" spans="2:22" x14ac:dyDescent="0.35">
      <c r="B376" s="71">
        <f t="shared" si="46"/>
        <v>0</v>
      </c>
      <c r="C376" s="72"/>
      <c r="D376" s="140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41"/>
      <c r="R376" s="88">
        <f t="shared" si="47"/>
        <v>0</v>
      </c>
      <c r="S376" s="78">
        <f t="shared" si="48"/>
        <v>0</v>
      </c>
      <c r="T376" s="78">
        <f t="shared" si="49"/>
        <v>0</v>
      </c>
      <c r="U376" s="78">
        <f t="shared" si="50"/>
        <v>0</v>
      </c>
      <c r="V376" s="79">
        <f t="shared" si="51"/>
        <v>0</v>
      </c>
    </row>
    <row r="377" spans="2:22" x14ac:dyDescent="0.35">
      <c r="B377" s="71">
        <f t="shared" si="46"/>
        <v>0</v>
      </c>
      <c r="C377" s="72"/>
      <c r="D377" s="140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41"/>
      <c r="R377" s="88">
        <f t="shared" si="47"/>
        <v>0</v>
      </c>
      <c r="S377" s="78">
        <f t="shared" si="48"/>
        <v>0</v>
      </c>
      <c r="T377" s="78">
        <f t="shared" si="49"/>
        <v>0</v>
      </c>
      <c r="U377" s="78">
        <f t="shared" si="50"/>
        <v>0</v>
      </c>
      <c r="V377" s="79">
        <f t="shared" si="51"/>
        <v>0</v>
      </c>
    </row>
    <row r="378" spans="2:22" x14ac:dyDescent="0.35">
      <c r="B378" s="71">
        <f t="shared" si="46"/>
        <v>0</v>
      </c>
      <c r="C378" s="72"/>
      <c r="D378" s="140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41"/>
      <c r="R378" s="88">
        <f t="shared" si="47"/>
        <v>0</v>
      </c>
      <c r="S378" s="78">
        <f t="shared" si="48"/>
        <v>0</v>
      </c>
      <c r="T378" s="78">
        <f t="shared" si="49"/>
        <v>0</v>
      </c>
      <c r="U378" s="78">
        <f t="shared" si="50"/>
        <v>0</v>
      </c>
      <c r="V378" s="79">
        <f t="shared" si="51"/>
        <v>0</v>
      </c>
    </row>
    <row r="379" spans="2:22" x14ac:dyDescent="0.35">
      <c r="B379" s="71">
        <f t="shared" si="46"/>
        <v>0</v>
      </c>
      <c r="C379" s="72"/>
      <c r="D379" s="140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41"/>
      <c r="R379" s="88">
        <f t="shared" si="47"/>
        <v>0</v>
      </c>
      <c r="S379" s="78">
        <f t="shared" si="48"/>
        <v>0</v>
      </c>
      <c r="T379" s="78">
        <f t="shared" si="49"/>
        <v>0</v>
      </c>
      <c r="U379" s="78">
        <f t="shared" si="50"/>
        <v>0</v>
      </c>
      <c r="V379" s="79">
        <f t="shared" si="51"/>
        <v>0</v>
      </c>
    </row>
    <row r="380" spans="2:22" x14ac:dyDescent="0.35">
      <c r="B380" s="71">
        <f t="shared" si="46"/>
        <v>0</v>
      </c>
      <c r="C380" s="72"/>
      <c r="D380" s="140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41"/>
      <c r="R380" s="88">
        <f t="shared" si="47"/>
        <v>0</v>
      </c>
      <c r="S380" s="78">
        <f t="shared" si="48"/>
        <v>0</v>
      </c>
      <c r="T380" s="78">
        <f t="shared" si="49"/>
        <v>0</v>
      </c>
      <c r="U380" s="78">
        <f t="shared" si="50"/>
        <v>0</v>
      </c>
      <c r="V380" s="79">
        <f t="shared" si="51"/>
        <v>0</v>
      </c>
    </row>
    <row r="381" spans="2:22" x14ac:dyDescent="0.35">
      <c r="B381" s="71">
        <f t="shared" si="46"/>
        <v>0</v>
      </c>
      <c r="C381" s="72"/>
      <c r="D381" s="140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41"/>
      <c r="R381" s="88">
        <f t="shared" si="47"/>
        <v>0</v>
      </c>
      <c r="S381" s="78">
        <f t="shared" si="48"/>
        <v>0</v>
      </c>
      <c r="T381" s="78">
        <f t="shared" si="49"/>
        <v>0</v>
      </c>
      <c r="U381" s="78">
        <f t="shared" si="50"/>
        <v>0</v>
      </c>
      <c r="V381" s="79">
        <f t="shared" si="51"/>
        <v>0</v>
      </c>
    </row>
    <row r="382" spans="2:22" x14ac:dyDescent="0.35">
      <c r="B382" s="71">
        <f t="shared" si="46"/>
        <v>0</v>
      </c>
      <c r="C382" s="72"/>
      <c r="D382" s="140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41"/>
      <c r="R382" s="88">
        <f t="shared" si="47"/>
        <v>0</v>
      </c>
      <c r="S382" s="78">
        <f t="shared" si="48"/>
        <v>0</v>
      </c>
      <c r="T382" s="78">
        <f t="shared" si="49"/>
        <v>0</v>
      </c>
      <c r="U382" s="78">
        <f t="shared" si="50"/>
        <v>0</v>
      </c>
      <c r="V382" s="79">
        <f t="shared" si="51"/>
        <v>0</v>
      </c>
    </row>
    <row r="383" spans="2:22" x14ac:dyDescent="0.35">
      <c r="B383" s="71">
        <f t="shared" si="46"/>
        <v>0</v>
      </c>
      <c r="C383" s="72"/>
      <c r="D383" s="140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41"/>
      <c r="R383" s="88">
        <f t="shared" si="47"/>
        <v>0</v>
      </c>
      <c r="S383" s="78">
        <f t="shared" si="48"/>
        <v>0</v>
      </c>
      <c r="T383" s="78">
        <f t="shared" si="49"/>
        <v>0</v>
      </c>
      <c r="U383" s="78">
        <f t="shared" si="50"/>
        <v>0</v>
      </c>
      <c r="V383" s="79">
        <f t="shared" si="51"/>
        <v>0</v>
      </c>
    </row>
    <row r="384" spans="2:22" x14ac:dyDescent="0.35">
      <c r="B384" s="71">
        <f t="shared" si="46"/>
        <v>0</v>
      </c>
      <c r="C384" s="72"/>
      <c r="D384" s="140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41"/>
      <c r="R384" s="88">
        <f t="shared" si="47"/>
        <v>0</v>
      </c>
      <c r="S384" s="78">
        <f t="shared" si="48"/>
        <v>0</v>
      </c>
      <c r="T384" s="78">
        <f t="shared" si="49"/>
        <v>0</v>
      </c>
      <c r="U384" s="78">
        <f t="shared" si="50"/>
        <v>0</v>
      </c>
      <c r="V384" s="79">
        <f t="shared" si="51"/>
        <v>0</v>
      </c>
    </row>
    <row r="385" spans="2:22" x14ac:dyDescent="0.35">
      <c r="B385" s="71">
        <f t="shared" si="46"/>
        <v>0</v>
      </c>
      <c r="C385" s="72"/>
      <c r="D385" s="140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41"/>
      <c r="R385" s="88">
        <f t="shared" si="47"/>
        <v>0</v>
      </c>
      <c r="S385" s="78">
        <f t="shared" si="48"/>
        <v>0</v>
      </c>
      <c r="T385" s="78">
        <f t="shared" si="49"/>
        <v>0</v>
      </c>
      <c r="U385" s="78">
        <f t="shared" si="50"/>
        <v>0</v>
      </c>
      <c r="V385" s="79">
        <f t="shared" si="51"/>
        <v>0</v>
      </c>
    </row>
    <row r="386" spans="2:22" x14ac:dyDescent="0.35">
      <c r="B386" s="71">
        <f t="shared" si="46"/>
        <v>0</v>
      </c>
      <c r="C386" s="72"/>
      <c r="D386" s="140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41"/>
      <c r="R386" s="88">
        <f t="shared" si="47"/>
        <v>0</v>
      </c>
      <c r="S386" s="78">
        <f t="shared" si="48"/>
        <v>0</v>
      </c>
      <c r="T386" s="78">
        <f t="shared" si="49"/>
        <v>0</v>
      </c>
      <c r="U386" s="78">
        <f t="shared" si="50"/>
        <v>0</v>
      </c>
      <c r="V386" s="79">
        <f t="shared" si="51"/>
        <v>0</v>
      </c>
    </row>
    <row r="387" spans="2:22" x14ac:dyDescent="0.35">
      <c r="B387" s="71">
        <f t="shared" si="46"/>
        <v>0</v>
      </c>
      <c r="C387" s="72"/>
      <c r="D387" s="140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41"/>
      <c r="R387" s="88">
        <f t="shared" si="47"/>
        <v>0</v>
      </c>
      <c r="S387" s="78">
        <f t="shared" si="48"/>
        <v>0</v>
      </c>
      <c r="T387" s="78">
        <f t="shared" si="49"/>
        <v>0</v>
      </c>
      <c r="U387" s="78">
        <f t="shared" si="50"/>
        <v>0</v>
      </c>
      <c r="V387" s="79">
        <f t="shared" si="51"/>
        <v>0</v>
      </c>
    </row>
    <row r="388" spans="2:22" x14ac:dyDescent="0.35">
      <c r="B388" s="71">
        <f t="shared" si="46"/>
        <v>0</v>
      </c>
      <c r="C388" s="72"/>
      <c r="D388" s="140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41"/>
      <c r="R388" s="88">
        <f t="shared" si="47"/>
        <v>0</v>
      </c>
      <c r="S388" s="78">
        <f t="shared" si="48"/>
        <v>0</v>
      </c>
      <c r="T388" s="78">
        <f t="shared" si="49"/>
        <v>0</v>
      </c>
      <c r="U388" s="78">
        <f t="shared" si="50"/>
        <v>0</v>
      </c>
      <c r="V388" s="79">
        <f t="shared" si="51"/>
        <v>0</v>
      </c>
    </row>
    <row r="389" spans="2:22" x14ac:dyDescent="0.35">
      <c r="B389" s="71">
        <f t="shared" si="46"/>
        <v>0</v>
      </c>
      <c r="C389" s="72"/>
      <c r="D389" s="140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41"/>
      <c r="R389" s="88">
        <f t="shared" si="47"/>
        <v>0</v>
      </c>
      <c r="S389" s="78">
        <f t="shared" si="48"/>
        <v>0</v>
      </c>
      <c r="T389" s="78">
        <f t="shared" si="49"/>
        <v>0</v>
      </c>
      <c r="U389" s="78">
        <f t="shared" si="50"/>
        <v>0</v>
      </c>
      <c r="V389" s="79">
        <f t="shared" si="51"/>
        <v>0</v>
      </c>
    </row>
    <row r="390" spans="2:22" x14ac:dyDescent="0.35">
      <c r="B390" s="71">
        <f t="shared" si="46"/>
        <v>0</v>
      </c>
      <c r="C390" s="72"/>
      <c r="D390" s="140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41"/>
      <c r="R390" s="88">
        <f t="shared" si="47"/>
        <v>0</v>
      </c>
      <c r="S390" s="78">
        <f t="shared" si="48"/>
        <v>0</v>
      </c>
      <c r="T390" s="78">
        <f t="shared" si="49"/>
        <v>0</v>
      </c>
      <c r="U390" s="78">
        <f t="shared" si="50"/>
        <v>0</v>
      </c>
      <c r="V390" s="79">
        <f t="shared" si="51"/>
        <v>0</v>
      </c>
    </row>
    <row r="391" spans="2:22" x14ac:dyDescent="0.35">
      <c r="B391" s="71">
        <f t="shared" si="46"/>
        <v>0</v>
      </c>
      <c r="C391" s="72"/>
      <c r="D391" s="140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41"/>
      <c r="R391" s="88">
        <f t="shared" si="47"/>
        <v>0</v>
      </c>
      <c r="S391" s="78">
        <f t="shared" si="48"/>
        <v>0</v>
      </c>
      <c r="T391" s="78">
        <f t="shared" si="49"/>
        <v>0</v>
      </c>
      <c r="U391" s="78">
        <f t="shared" si="50"/>
        <v>0</v>
      </c>
      <c r="V391" s="79">
        <f t="shared" si="51"/>
        <v>0</v>
      </c>
    </row>
    <row r="392" spans="2:22" x14ac:dyDescent="0.35">
      <c r="B392" s="71">
        <f t="shared" si="46"/>
        <v>0</v>
      </c>
      <c r="C392" s="72"/>
      <c r="D392" s="140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41"/>
      <c r="R392" s="88">
        <f t="shared" si="47"/>
        <v>0</v>
      </c>
      <c r="S392" s="78">
        <f t="shared" si="48"/>
        <v>0</v>
      </c>
      <c r="T392" s="78">
        <f t="shared" si="49"/>
        <v>0</v>
      </c>
      <c r="U392" s="78">
        <f t="shared" si="50"/>
        <v>0</v>
      </c>
      <c r="V392" s="79">
        <f t="shared" si="51"/>
        <v>0</v>
      </c>
    </row>
    <row r="393" spans="2:22" x14ac:dyDescent="0.35">
      <c r="B393" s="71">
        <f t="shared" ref="B393:B456" si="52">SUM(E393:P393)</f>
        <v>0</v>
      </c>
      <c r="C393" s="72"/>
      <c r="D393" s="140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41"/>
      <c r="R393" s="88">
        <f t="shared" si="47"/>
        <v>0</v>
      </c>
      <c r="S393" s="78">
        <f t="shared" si="48"/>
        <v>0</v>
      </c>
      <c r="T393" s="78">
        <f t="shared" si="49"/>
        <v>0</v>
      </c>
      <c r="U393" s="78">
        <f t="shared" si="50"/>
        <v>0</v>
      </c>
      <c r="V393" s="79">
        <f t="shared" si="51"/>
        <v>0</v>
      </c>
    </row>
    <row r="394" spans="2:22" x14ac:dyDescent="0.35">
      <c r="B394" s="71">
        <f t="shared" si="52"/>
        <v>0</v>
      </c>
      <c r="C394" s="72"/>
      <c r="D394" s="140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41"/>
      <c r="R394" s="88">
        <f t="shared" si="47"/>
        <v>0</v>
      </c>
      <c r="S394" s="78">
        <f t="shared" si="48"/>
        <v>0</v>
      </c>
      <c r="T394" s="78">
        <f t="shared" si="49"/>
        <v>0</v>
      </c>
      <c r="U394" s="78">
        <f t="shared" si="50"/>
        <v>0</v>
      </c>
      <c r="V394" s="79">
        <f t="shared" si="51"/>
        <v>0</v>
      </c>
    </row>
    <row r="395" spans="2:22" x14ac:dyDescent="0.35">
      <c r="B395" s="71">
        <f t="shared" si="52"/>
        <v>0</v>
      </c>
      <c r="C395" s="72"/>
      <c r="D395" s="140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41"/>
      <c r="R395" s="88">
        <f t="shared" ref="R395:R458" si="53">SUM(E395:P395)</f>
        <v>0</v>
      </c>
      <c r="S395" s="78">
        <f t="shared" ref="S395:S458" si="54">SUM(H395:P395)/9*12</f>
        <v>0</v>
      </c>
      <c r="T395" s="78">
        <f t="shared" ref="T395:T458" si="55">SUM(K395:P395)*2</f>
        <v>0</v>
      </c>
      <c r="U395" s="78">
        <f t="shared" ref="U395:U458" si="56">SUM(N395:P395)*4</f>
        <v>0</v>
      </c>
      <c r="V395" s="79">
        <f t="shared" ref="V395:V458" si="57">SUM(P395)*12</f>
        <v>0</v>
      </c>
    </row>
    <row r="396" spans="2:22" x14ac:dyDescent="0.35">
      <c r="B396" s="71">
        <f t="shared" si="52"/>
        <v>0</v>
      </c>
      <c r="C396" s="72"/>
      <c r="D396" s="140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41"/>
      <c r="R396" s="88">
        <f t="shared" si="53"/>
        <v>0</v>
      </c>
      <c r="S396" s="78">
        <f t="shared" si="54"/>
        <v>0</v>
      </c>
      <c r="T396" s="78">
        <f t="shared" si="55"/>
        <v>0</v>
      </c>
      <c r="U396" s="78">
        <f t="shared" si="56"/>
        <v>0</v>
      </c>
      <c r="V396" s="79">
        <f t="shared" si="57"/>
        <v>0</v>
      </c>
    </row>
    <row r="397" spans="2:22" x14ac:dyDescent="0.35">
      <c r="B397" s="71">
        <f t="shared" si="52"/>
        <v>0</v>
      </c>
      <c r="C397" s="72"/>
      <c r="D397" s="140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41"/>
      <c r="R397" s="88">
        <f t="shared" si="53"/>
        <v>0</v>
      </c>
      <c r="S397" s="78">
        <f t="shared" si="54"/>
        <v>0</v>
      </c>
      <c r="T397" s="78">
        <f t="shared" si="55"/>
        <v>0</v>
      </c>
      <c r="U397" s="78">
        <f t="shared" si="56"/>
        <v>0</v>
      </c>
      <c r="V397" s="79">
        <f t="shared" si="57"/>
        <v>0</v>
      </c>
    </row>
    <row r="398" spans="2:22" x14ac:dyDescent="0.35">
      <c r="B398" s="71">
        <f t="shared" si="52"/>
        <v>0</v>
      </c>
      <c r="C398" s="72"/>
      <c r="D398" s="140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41"/>
      <c r="R398" s="88">
        <f t="shared" si="53"/>
        <v>0</v>
      </c>
      <c r="S398" s="78">
        <f t="shared" si="54"/>
        <v>0</v>
      </c>
      <c r="T398" s="78">
        <f t="shared" si="55"/>
        <v>0</v>
      </c>
      <c r="U398" s="78">
        <f t="shared" si="56"/>
        <v>0</v>
      </c>
      <c r="V398" s="79">
        <f t="shared" si="57"/>
        <v>0</v>
      </c>
    </row>
    <row r="399" spans="2:22" x14ac:dyDescent="0.35">
      <c r="B399" s="71">
        <f t="shared" si="52"/>
        <v>0</v>
      </c>
      <c r="C399" s="72"/>
      <c r="D399" s="140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41"/>
      <c r="R399" s="88">
        <f t="shared" si="53"/>
        <v>0</v>
      </c>
      <c r="S399" s="78">
        <f t="shared" si="54"/>
        <v>0</v>
      </c>
      <c r="T399" s="78">
        <f t="shared" si="55"/>
        <v>0</v>
      </c>
      <c r="U399" s="78">
        <f t="shared" si="56"/>
        <v>0</v>
      </c>
      <c r="V399" s="79">
        <f t="shared" si="57"/>
        <v>0</v>
      </c>
    </row>
    <row r="400" spans="2:22" x14ac:dyDescent="0.35">
      <c r="B400" s="71">
        <f t="shared" si="52"/>
        <v>0</v>
      </c>
      <c r="C400" s="72"/>
      <c r="D400" s="140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41"/>
      <c r="R400" s="88">
        <f t="shared" si="53"/>
        <v>0</v>
      </c>
      <c r="S400" s="78">
        <f t="shared" si="54"/>
        <v>0</v>
      </c>
      <c r="T400" s="78">
        <f t="shared" si="55"/>
        <v>0</v>
      </c>
      <c r="U400" s="78">
        <f t="shared" si="56"/>
        <v>0</v>
      </c>
      <c r="V400" s="79">
        <f t="shared" si="57"/>
        <v>0</v>
      </c>
    </row>
    <row r="401" spans="2:22" x14ac:dyDescent="0.35">
      <c r="B401" s="71">
        <f t="shared" si="52"/>
        <v>0</v>
      </c>
      <c r="C401" s="72"/>
      <c r="D401" s="140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41"/>
      <c r="R401" s="88">
        <f t="shared" si="53"/>
        <v>0</v>
      </c>
      <c r="S401" s="78">
        <f t="shared" si="54"/>
        <v>0</v>
      </c>
      <c r="T401" s="78">
        <f t="shared" si="55"/>
        <v>0</v>
      </c>
      <c r="U401" s="78">
        <f t="shared" si="56"/>
        <v>0</v>
      </c>
      <c r="V401" s="79">
        <f t="shared" si="57"/>
        <v>0</v>
      </c>
    </row>
    <row r="402" spans="2:22" x14ac:dyDescent="0.35">
      <c r="B402" s="71">
        <f t="shared" si="52"/>
        <v>0</v>
      </c>
      <c r="C402" s="72"/>
      <c r="D402" s="140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41"/>
      <c r="R402" s="88">
        <f t="shared" si="53"/>
        <v>0</v>
      </c>
      <c r="S402" s="78">
        <f t="shared" si="54"/>
        <v>0</v>
      </c>
      <c r="T402" s="78">
        <f t="shared" si="55"/>
        <v>0</v>
      </c>
      <c r="U402" s="78">
        <f t="shared" si="56"/>
        <v>0</v>
      </c>
      <c r="V402" s="79">
        <f t="shared" si="57"/>
        <v>0</v>
      </c>
    </row>
    <row r="403" spans="2:22" x14ac:dyDescent="0.35">
      <c r="B403" s="71">
        <f t="shared" si="52"/>
        <v>0</v>
      </c>
      <c r="C403" s="72"/>
      <c r="D403" s="140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41"/>
      <c r="R403" s="88">
        <f t="shared" si="53"/>
        <v>0</v>
      </c>
      <c r="S403" s="78">
        <f t="shared" si="54"/>
        <v>0</v>
      </c>
      <c r="T403" s="78">
        <f t="shared" si="55"/>
        <v>0</v>
      </c>
      <c r="U403" s="78">
        <f t="shared" si="56"/>
        <v>0</v>
      </c>
      <c r="V403" s="79">
        <f t="shared" si="57"/>
        <v>0</v>
      </c>
    </row>
    <row r="404" spans="2:22" x14ac:dyDescent="0.35">
      <c r="B404" s="71">
        <f t="shared" si="52"/>
        <v>0</v>
      </c>
      <c r="C404" s="72"/>
      <c r="D404" s="140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41"/>
      <c r="R404" s="88">
        <f t="shared" si="53"/>
        <v>0</v>
      </c>
      <c r="S404" s="78">
        <f t="shared" si="54"/>
        <v>0</v>
      </c>
      <c r="T404" s="78">
        <f t="shared" si="55"/>
        <v>0</v>
      </c>
      <c r="U404" s="78">
        <f t="shared" si="56"/>
        <v>0</v>
      </c>
      <c r="V404" s="79">
        <f t="shared" si="57"/>
        <v>0</v>
      </c>
    </row>
    <row r="405" spans="2:22" x14ac:dyDescent="0.35">
      <c r="B405" s="71">
        <f t="shared" si="52"/>
        <v>0</v>
      </c>
      <c r="C405" s="72"/>
      <c r="D405" s="140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41"/>
      <c r="R405" s="88">
        <f t="shared" si="53"/>
        <v>0</v>
      </c>
      <c r="S405" s="78">
        <f t="shared" si="54"/>
        <v>0</v>
      </c>
      <c r="T405" s="78">
        <f t="shared" si="55"/>
        <v>0</v>
      </c>
      <c r="U405" s="78">
        <f t="shared" si="56"/>
        <v>0</v>
      </c>
      <c r="V405" s="79">
        <f t="shared" si="57"/>
        <v>0</v>
      </c>
    </row>
    <row r="406" spans="2:22" x14ac:dyDescent="0.35">
      <c r="B406" s="71">
        <f t="shared" si="52"/>
        <v>0</v>
      </c>
      <c r="C406" s="72"/>
      <c r="D406" s="140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41"/>
      <c r="R406" s="88">
        <f t="shared" si="53"/>
        <v>0</v>
      </c>
      <c r="S406" s="78">
        <f t="shared" si="54"/>
        <v>0</v>
      </c>
      <c r="T406" s="78">
        <f t="shared" si="55"/>
        <v>0</v>
      </c>
      <c r="U406" s="78">
        <f t="shared" si="56"/>
        <v>0</v>
      </c>
      <c r="V406" s="79">
        <f t="shared" si="57"/>
        <v>0</v>
      </c>
    </row>
    <row r="407" spans="2:22" x14ac:dyDescent="0.35">
      <c r="B407" s="71">
        <f t="shared" si="52"/>
        <v>0</v>
      </c>
      <c r="C407" s="72"/>
      <c r="D407" s="140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41"/>
      <c r="R407" s="88">
        <f t="shared" si="53"/>
        <v>0</v>
      </c>
      <c r="S407" s="78">
        <f t="shared" si="54"/>
        <v>0</v>
      </c>
      <c r="T407" s="78">
        <f t="shared" si="55"/>
        <v>0</v>
      </c>
      <c r="U407" s="78">
        <f t="shared" si="56"/>
        <v>0</v>
      </c>
      <c r="V407" s="79">
        <f t="shared" si="57"/>
        <v>0</v>
      </c>
    </row>
    <row r="408" spans="2:22" x14ac:dyDescent="0.35">
      <c r="B408" s="71">
        <f t="shared" si="52"/>
        <v>0</v>
      </c>
      <c r="C408" s="72"/>
      <c r="D408" s="140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41"/>
      <c r="R408" s="88">
        <f t="shared" si="53"/>
        <v>0</v>
      </c>
      <c r="S408" s="78">
        <f t="shared" si="54"/>
        <v>0</v>
      </c>
      <c r="T408" s="78">
        <f t="shared" si="55"/>
        <v>0</v>
      </c>
      <c r="U408" s="78">
        <f t="shared" si="56"/>
        <v>0</v>
      </c>
      <c r="V408" s="79">
        <f t="shared" si="57"/>
        <v>0</v>
      </c>
    </row>
    <row r="409" spans="2:22" x14ac:dyDescent="0.35">
      <c r="B409" s="71">
        <f t="shared" si="52"/>
        <v>0</v>
      </c>
      <c r="C409" s="72"/>
      <c r="D409" s="140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41"/>
      <c r="R409" s="88">
        <f t="shared" si="53"/>
        <v>0</v>
      </c>
      <c r="S409" s="78">
        <f t="shared" si="54"/>
        <v>0</v>
      </c>
      <c r="T409" s="78">
        <f t="shared" si="55"/>
        <v>0</v>
      </c>
      <c r="U409" s="78">
        <f t="shared" si="56"/>
        <v>0</v>
      </c>
      <c r="V409" s="79">
        <f t="shared" si="57"/>
        <v>0</v>
      </c>
    </row>
    <row r="410" spans="2:22" x14ac:dyDescent="0.35">
      <c r="B410" s="71">
        <f t="shared" si="52"/>
        <v>0</v>
      </c>
      <c r="C410" s="72"/>
      <c r="D410" s="140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41"/>
      <c r="R410" s="88">
        <f t="shared" si="53"/>
        <v>0</v>
      </c>
      <c r="S410" s="78">
        <f t="shared" si="54"/>
        <v>0</v>
      </c>
      <c r="T410" s="78">
        <f t="shared" si="55"/>
        <v>0</v>
      </c>
      <c r="U410" s="78">
        <f t="shared" si="56"/>
        <v>0</v>
      </c>
      <c r="V410" s="79">
        <f t="shared" si="57"/>
        <v>0</v>
      </c>
    </row>
    <row r="411" spans="2:22" x14ac:dyDescent="0.35">
      <c r="B411" s="71">
        <f t="shared" si="52"/>
        <v>0</v>
      </c>
      <c r="C411" s="72"/>
      <c r="D411" s="140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41"/>
      <c r="R411" s="88">
        <f t="shared" si="53"/>
        <v>0</v>
      </c>
      <c r="S411" s="78">
        <f t="shared" si="54"/>
        <v>0</v>
      </c>
      <c r="T411" s="78">
        <f t="shared" si="55"/>
        <v>0</v>
      </c>
      <c r="U411" s="78">
        <f t="shared" si="56"/>
        <v>0</v>
      </c>
      <c r="V411" s="79">
        <f t="shared" si="57"/>
        <v>0</v>
      </c>
    </row>
    <row r="412" spans="2:22" x14ac:dyDescent="0.35">
      <c r="B412" s="71">
        <f t="shared" si="52"/>
        <v>0</v>
      </c>
      <c r="C412" s="72"/>
      <c r="D412" s="140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41"/>
      <c r="R412" s="88">
        <f t="shared" si="53"/>
        <v>0</v>
      </c>
      <c r="S412" s="78">
        <f t="shared" si="54"/>
        <v>0</v>
      </c>
      <c r="T412" s="78">
        <f t="shared" si="55"/>
        <v>0</v>
      </c>
      <c r="U412" s="78">
        <f t="shared" si="56"/>
        <v>0</v>
      </c>
      <c r="V412" s="79">
        <f t="shared" si="57"/>
        <v>0</v>
      </c>
    </row>
    <row r="413" spans="2:22" x14ac:dyDescent="0.35">
      <c r="B413" s="71">
        <f t="shared" si="52"/>
        <v>0</v>
      </c>
      <c r="C413" s="72"/>
      <c r="D413" s="140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41"/>
      <c r="R413" s="88">
        <f t="shared" si="53"/>
        <v>0</v>
      </c>
      <c r="S413" s="78">
        <f t="shared" si="54"/>
        <v>0</v>
      </c>
      <c r="T413" s="78">
        <f t="shared" si="55"/>
        <v>0</v>
      </c>
      <c r="U413" s="78">
        <f t="shared" si="56"/>
        <v>0</v>
      </c>
      <c r="V413" s="79">
        <f t="shared" si="57"/>
        <v>0</v>
      </c>
    </row>
    <row r="414" spans="2:22" x14ac:dyDescent="0.35">
      <c r="B414" s="71">
        <f t="shared" si="52"/>
        <v>0</v>
      </c>
      <c r="C414" s="72"/>
      <c r="D414" s="140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41"/>
      <c r="R414" s="88">
        <f t="shared" si="53"/>
        <v>0</v>
      </c>
      <c r="S414" s="78">
        <f t="shared" si="54"/>
        <v>0</v>
      </c>
      <c r="T414" s="78">
        <f t="shared" si="55"/>
        <v>0</v>
      </c>
      <c r="U414" s="78">
        <f t="shared" si="56"/>
        <v>0</v>
      </c>
      <c r="V414" s="79">
        <f t="shared" si="57"/>
        <v>0</v>
      </c>
    </row>
    <row r="415" spans="2:22" x14ac:dyDescent="0.35">
      <c r="B415" s="71">
        <f t="shared" si="52"/>
        <v>0</v>
      </c>
      <c r="C415" s="72"/>
      <c r="D415" s="140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41"/>
      <c r="R415" s="88">
        <f t="shared" si="53"/>
        <v>0</v>
      </c>
      <c r="S415" s="78">
        <f t="shared" si="54"/>
        <v>0</v>
      </c>
      <c r="T415" s="78">
        <f t="shared" si="55"/>
        <v>0</v>
      </c>
      <c r="U415" s="78">
        <f t="shared" si="56"/>
        <v>0</v>
      </c>
      <c r="V415" s="79">
        <f t="shared" si="57"/>
        <v>0</v>
      </c>
    </row>
    <row r="416" spans="2:22" x14ac:dyDescent="0.35">
      <c r="B416" s="71">
        <f t="shared" si="52"/>
        <v>0</v>
      </c>
      <c r="C416" s="72"/>
      <c r="D416" s="140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41"/>
      <c r="R416" s="88">
        <f t="shared" si="53"/>
        <v>0</v>
      </c>
      <c r="S416" s="78">
        <f t="shared" si="54"/>
        <v>0</v>
      </c>
      <c r="T416" s="78">
        <f t="shared" si="55"/>
        <v>0</v>
      </c>
      <c r="U416" s="78">
        <f t="shared" si="56"/>
        <v>0</v>
      </c>
      <c r="V416" s="79">
        <f t="shared" si="57"/>
        <v>0</v>
      </c>
    </row>
    <row r="417" spans="2:22" x14ac:dyDescent="0.35">
      <c r="B417" s="71">
        <f t="shared" si="52"/>
        <v>0</v>
      </c>
      <c r="C417" s="72"/>
      <c r="D417" s="140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41"/>
      <c r="R417" s="88">
        <f t="shared" si="53"/>
        <v>0</v>
      </c>
      <c r="S417" s="78">
        <f t="shared" si="54"/>
        <v>0</v>
      </c>
      <c r="T417" s="78">
        <f t="shared" si="55"/>
        <v>0</v>
      </c>
      <c r="U417" s="78">
        <f t="shared" si="56"/>
        <v>0</v>
      </c>
      <c r="V417" s="79">
        <f t="shared" si="57"/>
        <v>0</v>
      </c>
    </row>
    <row r="418" spans="2:22" x14ac:dyDescent="0.35">
      <c r="B418" s="71">
        <f t="shared" si="52"/>
        <v>0</v>
      </c>
      <c r="C418" s="72"/>
      <c r="D418" s="140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41"/>
      <c r="R418" s="88">
        <f t="shared" si="53"/>
        <v>0</v>
      </c>
      <c r="S418" s="78">
        <f t="shared" si="54"/>
        <v>0</v>
      </c>
      <c r="T418" s="78">
        <f t="shared" si="55"/>
        <v>0</v>
      </c>
      <c r="U418" s="78">
        <f t="shared" si="56"/>
        <v>0</v>
      </c>
      <c r="V418" s="79">
        <f t="shared" si="57"/>
        <v>0</v>
      </c>
    </row>
    <row r="419" spans="2:22" x14ac:dyDescent="0.35">
      <c r="B419" s="71">
        <f t="shared" si="52"/>
        <v>0</v>
      </c>
      <c r="C419" s="72"/>
      <c r="D419" s="140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41"/>
      <c r="R419" s="88">
        <f t="shared" si="53"/>
        <v>0</v>
      </c>
      <c r="S419" s="78">
        <f t="shared" si="54"/>
        <v>0</v>
      </c>
      <c r="T419" s="78">
        <f t="shared" si="55"/>
        <v>0</v>
      </c>
      <c r="U419" s="78">
        <f t="shared" si="56"/>
        <v>0</v>
      </c>
      <c r="V419" s="79">
        <f t="shared" si="57"/>
        <v>0</v>
      </c>
    </row>
    <row r="420" spans="2:22" x14ac:dyDescent="0.35">
      <c r="B420" s="71">
        <f t="shared" si="52"/>
        <v>0</v>
      </c>
      <c r="C420" s="72"/>
      <c r="D420" s="140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41"/>
      <c r="R420" s="88">
        <f t="shared" si="53"/>
        <v>0</v>
      </c>
      <c r="S420" s="78">
        <f t="shared" si="54"/>
        <v>0</v>
      </c>
      <c r="T420" s="78">
        <f t="shared" si="55"/>
        <v>0</v>
      </c>
      <c r="U420" s="78">
        <f t="shared" si="56"/>
        <v>0</v>
      </c>
      <c r="V420" s="79">
        <f t="shared" si="57"/>
        <v>0</v>
      </c>
    </row>
    <row r="421" spans="2:22" x14ac:dyDescent="0.35">
      <c r="B421" s="71">
        <f t="shared" si="52"/>
        <v>0</v>
      </c>
      <c r="C421" s="72"/>
      <c r="D421" s="140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41"/>
      <c r="R421" s="88">
        <f t="shared" si="53"/>
        <v>0</v>
      </c>
      <c r="S421" s="78">
        <f t="shared" si="54"/>
        <v>0</v>
      </c>
      <c r="T421" s="78">
        <f t="shared" si="55"/>
        <v>0</v>
      </c>
      <c r="U421" s="78">
        <f t="shared" si="56"/>
        <v>0</v>
      </c>
      <c r="V421" s="79">
        <f t="shared" si="57"/>
        <v>0</v>
      </c>
    </row>
    <row r="422" spans="2:22" x14ac:dyDescent="0.35">
      <c r="B422" s="71">
        <f t="shared" si="52"/>
        <v>0</v>
      </c>
      <c r="C422" s="72"/>
      <c r="D422" s="140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41"/>
      <c r="R422" s="88">
        <f t="shared" si="53"/>
        <v>0</v>
      </c>
      <c r="S422" s="78">
        <f t="shared" si="54"/>
        <v>0</v>
      </c>
      <c r="T422" s="78">
        <f t="shared" si="55"/>
        <v>0</v>
      </c>
      <c r="U422" s="78">
        <f t="shared" si="56"/>
        <v>0</v>
      </c>
      <c r="V422" s="79">
        <f t="shared" si="57"/>
        <v>0</v>
      </c>
    </row>
    <row r="423" spans="2:22" x14ac:dyDescent="0.35">
      <c r="B423" s="71">
        <f t="shared" si="52"/>
        <v>0</v>
      </c>
      <c r="C423" s="72"/>
      <c r="D423" s="140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41"/>
      <c r="R423" s="88">
        <f t="shared" si="53"/>
        <v>0</v>
      </c>
      <c r="S423" s="78">
        <f t="shared" si="54"/>
        <v>0</v>
      </c>
      <c r="T423" s="78">
        <f t="shared" si="55"/>
        <v>0</v>
      </c>
      <c r="U423" s="78">
        <f t="shared" si="56"/>
        <v>0</v>
      </c>
      <c r="V423" s="79">
        <f t="shared" si="57"/>
        <v>0</v>
      </c>
    </row>
    <row r="424" spans="2:22" x14ac:dyDescent="0.35">
      <c r="B424" s="71">
        <f t="shared" si="52"/>
        <v>0</v>
      </c>
      <c r="C424" s="72"/>
      <c r="D424" s="140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41"/>
      <c r="R424" s="88">
        <f t="shared" si="53"/>
        <v>0</v>
      </c>
      <c r="S424" s="78">
        <f t="shared" si="54"/>
        <v>0</v>
      </c>
      <c r="T424" s="78">
        <f t="shared" si="55"/>
        <v>0</v>
      </c>
      <c r="U424" s="78">
        <f t="shared" si="56"/>
        <v>0</v>
      </c>
      <c r="V424" s="79">
        <f t="shared" si="57"/>
        <v>0</v>
      </c>
    </row>
    <row r="425" spans="2:22" x14ac:dyDescent="0.35">
      <c r="B425" s="71">
        <f t="shared" si="52"/>
        <v>0</v>
      </c>
      <c r="C425" s="72"/>
      <c r="D425" s="140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41"/>
      <c r="R425" s="88">
        <f t="shared" si="53"/>
        <v>0</v>
      </c>
      <c r="S425" s="78">
        <f t="shared" si="54"/>
        <v>0</v>
      </c>
      <c r="T425" s="78">
        <f t="shared" si="55"/>
        <v>0</v>
      </c>
      <c r="U425" s="78">
        <f t="shared" si="56"/>
        <v>0</v>
      </c>
      <c r="V425" s="79">
        <f t="shared" si="57"/>
        <v>0</v>
      </c>
    </row>
    <row r="426" spans="2:22" x14ac:dyDescent="0.35">
      <c r="B426" s="71">
        <f t="shared" si="52"/>
        <v>0</v>
      </c>
      <c r="C426" s="72"/>
      <c r="D426" s="140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41"/>
      <c r="R426" s="88">
        <f t="shared" si="53"/>
        <v>0</v>
      </c>
      <c r="S426" s="78">
        <f t="shared" si="54"/>
        <v>0</v>
      </c>
      <c r="T426" s="78">
        <f t="shared" si="55"/>
        <v>0</v>
      </c>
      <c r="U426" s="78">
        <f t="shared" si="56"/>
        <v>0</v>
      </c>
      <c r="V426" s="79">
        <f t="shared" si="57"/>
        <v>0</v>
      </c>
    </row>
    <row r="427" spans="2:22" x14ac:dyDescent="0.35">
      <c r="B427" s="71">
        <f t="shared" si="52"/>
        <v>0</v>
      </c>
      <c r="C427" s="72"/>
      <c r="D427" s="140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41"/>
      <c r="R427" s="88">
        <f t="shared" si="53"/>
        <v>0</v>
      </c>
      <c r="S427" s="78">
        <f t="shared" si="54"/>
        <v>0</v>
      </c>
      <c r="T427" s="78">
        <f t="shared" si="55"/>
        <v>0</v>
      </c>
      <c r="U427" s="78">
        <f t="shared" si="56"/>
        <v>0</v>
      </c>
      <c r="V427" s="79">
        <f t="shared" si="57"/>
        <v>0</v>
      </c>
    </row>
    <row r="428" spans="2:22" x14ac:dyDescent="0.35">
      <c r="B428" s="71">
        <f t="shared" si="52"/>
        <v>0</v>
      </c>
      <c r="C428" s="72"/>
      <c r="D428" s="140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41"/>
      <c r="R428" s="88">
        <f t="shared" si="53"/>
        <v>0</v>
      </c>
      <c r="S428" s="78">
        <f t="shared" si="54"/>
        <v>0</v>
      </c>
      <c r="T428" s="78">
        <f t="shared" si="55"/>
        <v>0</v>
      </c>
      <c r="U428" s="78">
        <f t="shared" si="56"/>
        <v>0</v>
      </c>
      <c r="V428" s="79">
        <f t="shared" si="57"/>
        <v>0</v>
      </c>
    </row>
    <row r="429" spans="2:22" x14ac:dyDescent="0.35">
      <c r="B429" s="71">
        <f t="shared" si="52"/>
        <v>0</v>
      </c>
      <c r="C429" s="72"/>
      <c r="D429" s="140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41"/>
      <c r="R429" s="88">
        <f t="shared" si="53"/>
        <v>0</v>
      </c>
      <c r="S429" s="78">
        <f t="shared" si="54"/>
        <v>0</v>
      </c>
      <c r="T429" s="78">
        <f t="shared" si="55"/>
        <v>0</v>
      </c>
      <c r="U429" s="78">
        <f t="shared" si="56"/>
        <v>0</v>
      </c>
      <c r="V429" s="79">
        <f t="shared" si="57"/>
        <v>0</v>
      </c>
    </row>
    <row r="430" spans="2:22" x14ac:dyDescent="0.35">
      <c r="B430" s="71">
        <f t="shared" si="52"/>
        <v>0</v>
      </c>
      <c r="C430" s="72"/>
      <c r="D430" s="140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41"/>
      <c r="R430" s="88">
        <f t="shared" si="53"/>
        <v>0</v>
      </c>
      <c r="S430" s="78">
        <f t="shared" si="54"/>
        <v>0</v>
      </c>
      <c r="T430" s="78">
        <f t="shared" si="55"/>
        <v>0</v>
      </c>
      <c r="U430" s="78">
        <f t="shared" si="56"/>
        <v>0</v>
      </c>
      <c r="V430" s="79">
        <f t="shared" si="57"/>
        <v>0</v>
      </c>
    </row>
    <row r="431" spans="2:22" x14ac:dyDescent="0.35">
      <c r="B431" s="71">
        <f t="shared" si="52"/>
        <v>0</v>
      </c>
      <c r="C431" s="72"/>
      <c r="D431" s="140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41"/>
      <c r="R431" s="88">
        <f t="shared" si="53"/>
        <v>0</v>
      </c>
      <c r="S431" s="78">
        <f t="shared" si="54"/>
        <v>0</v>
      </c>
      <c r="T431" s="78">
        <f t="shared" si="55"/>
        <v>0</v>
      </c>
      <c r="U431" s="78">
        <f t="shared" si="56"/>
        <v>0</v>
      </c>
      <c r="V431" s="79">
        <f t="shared" si="57"/>
        <v>0</v>
      </c>
    </row>
    <row r="432" spans="2:22" x14ac:dyDescent="0.35">
      <c r="B432" s="71">
        <f t="shared" si="52"/>
        <v>0</v>
      </c>
      <c r="C432" s="72"/>
      <c r="D432" s="140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41"/>
      <c r="R432" s="88">
        <f t="shared" si="53"/>
        <v>0</v>
      </c>
      <c r="S432" s="78">
        <f t="shared" si="54"/>
        <v>0</v>
      </c>
      <c r="T432" s="78">
        <f t="shared" si="55"/>
        <v>0</v>
      </c>
      <c r="U432" s="78">
        <f t="shared" si="56"/>
        <v>0</v>
      </c>
      <c r="V432" s="79">
        <f t="shared" si="57"/>
        <v>0</v>
      </c>
    </row>
    <row r="433" spans="2:22" x14ac:dyDescent="0.35">
      <c r="B433" s="71">
        <f t="shared" si="52"/>
        <v>0</v>
      </c>
      <c r="C433" s="72"/>
      <c r="D433" s="140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41"/>
      <c r="R433" s="88">
        <f t="shared" si="53"/>
        <v>0</v>
      </c>
      <c r="S433" s="78">
        <f t="shared" si="54"/>
        <v>0</v>
      </c>
      <c r="T433" s="78">
        <f t="shared" si="55"/>
        <v>0</v>
      </c>
      <c r="U433" s="78">
        <f t="shared" si="56"/>
        <v>0</v>
      </c>
      <c r="V433" s="79">
        <f t="shared" si="57"/>
        <v>0</v>
      </c>
    </row>
    <row r="434" spans="2:22" x14ac:dyDescent="0.35">
      <c r="B434" s="71">
        <f t="shared" si="52"/>
        <v>0</v>
      </c>
      <c r="C434" s="72"/>
      <c r="D434" s="140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41"/>
      <c r="R434" s="88">
        <f t="shared" si="53"/>
        <v>0</v>
      </c>
      <c r="S434" s="78">
        <f t="shared" si="54"/>
        <v>0</v>
      </c>
      <c r="T434" s="78">
        <f t="shared" si="55"/>
        <v>0</v>
      </c>
      <c r="U434" s="78">
        <f t="shared" si="56"/>
        <v>0</v>
      </c>
      <c r="V434" s="79">
        <f t="shared" si="57"/>
        <v>0</v>
      </c>
    </row>
    <row r="435" spans="2:22" x14ac:dyDescent="0.35">
      <c r="B435" s="71">
        <f t="shared" si="52"/>
        <v>0</v>
      </c>
      <c r="C435" s="72"/>
      <c r="D435" s="140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41"/>
      <c r="R435" s="88">
        <f t="shared" si="53"/>
        <v>0</v>
      </c>
      <c r="S435" s="78">
        <f t="shared" si="54"/>
        <v>0</v>
      </c>
      <c r="T435" s="78">
        <f t="shared" si="55"/>
        <v>0</v>
      </c>
      <c r="U435" s="78">
        <f t="shared" si="56"/>
        <v>0</v>
      </c>
      <c r="V435" s="79">
        <f t="shared" si="57"/>
        <v>0</v>
      </c>
    </row>
    <row r="436" spans="2:22" x14ac:dyDescent="0.35">
      <c r="B436" s="71">
        <f t="shared" si="52"/>
        <v>0</v>
      </c>
      <c r="C436" s="72"/>
      <c r="D436" s="140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41"/>
      <c r="R436" s="88">
        <f t="shared" si="53"/>
        <v>0</v>
      </c>
      <c r="S436" s="78">
        <f t="shared" si="54"/>
        <v>0</v>
      </c>
      <c r="T436" s="78">
        <f t="shared" si="55"/>
        <v>0</v>
      </c>
      <c r="U436" s="78">
        <f t="shared" si="56"/>
        <v>0</v>
      </c>
      <c r="V436" s="79">
        <f t="shared" si="57"/>
        <v>0</v>
      </c>
    </row>
    <row r="437" spans="2:22" x14ac:dyDescent="0.35">
      <c r="B437" s="71">
        <f t="shared" si="52"/>
        <v>0</v>
      </c>
      <c r="C437" s="72"/>
      <c r="D437" s="140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41"/>
      <c r="R437" s="88">
        <f t="shared" si="53"/>
        <v>0</v>
      </c>
      <c r="S437" s="78">
        <f t="shared" si="54"/>
        <v>0</v>
      </c>
      <c r="T437" s="78">
        <f t="shared" si="55"/>
        <v>0</v>
      </c>
      <c r="U437" s="78">
        <f t="shared" si="56"/>
        <v>0</v>
      </c>
      <c r="V437" s="79">
        <f t="shared" si="57"/>
        <v>0</v>
      </c>
    </row>
    <row r="438" spans="2:22" x14ac:dyDescent="0.35">
      <c r="B438" s="71">
        <f t="shared" si="52"/>
        <v>0</v>
      </c>
      <c r="C438" s="72"/>
      <c r="D438" s="140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41"/>
      <c r="R438" s="88">
        <f t="shared" si="53"/>
        <v>0</v>
      </c>
      <c r="S438" s="78">
        <f t="shared" si="54"/>
        <v>0</v>
      </c>
      <c r="T438" s="78">
        <f t="shared" si="55"/>
        <v>0</v>
      </c>
      <c r="U438" s="78">
        <f t="shared" si="56"/>
        <v>0</v>
      </c>
      <c r="V438" s="79">
        <f t="shared" si="57"/>
        <v>0</v>
      </c>
    </row>
    <row r="439" spans="2:22" x14ac:dyDescent="0.35">
      <c r="B439" s="71">
        <f t="shared" si="52"/>
        <v>0</v>
      </c>
      <c r="C439" s="72"/>
      <c r="D439" s="140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41"/>
      <c r="R439" s="88">
        <f t="shared" si="53"/>
        <v>0</v>
      </c>
      <c r="S439" s="78">
        <f t="shared" si="54"/>
        <v>0</v>
      </c>
      <c r="T439" s="78">
        <f t="shared" si="55"/>
        <v>0</v>
      </c>
      <c r="U439" s="78">
        <f t="shared" si="56"/>
        <v>0</v>
      </c>
      <c r="V439" s="79">
        <f t="shared" si="57"/>
        <v>0</v>
      </c>
    </row>
    <row r="440" spans="2:22" x14ac:dyDescent="0.35">
      <c r="B440" s="71">
        <f t="shared" si="52"/>
        <v>0</v>
      </c>
      <c r="C440" s="72"/>
      <c r="D440" s="140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41"/>
      <c r="R440" s="88">
        <f t="shared" si="53"/>
        <v>0</v>
      </c>
      <c r="S440" s="78">
        <f t="shared" si="54"/>
        <v>0</v>
      </c>
      <c r="T440" s="78">
        <f t="shared" si="55"/>
        <v>0</v>
      </c>
      <c r="U440" s="78">
        <f t="shared" si="56"/>
        <v>0</v>
      </c>
      <c r="V440" s="79">
        <f t="shared" si="57"/>
        <v>0</v>
      </c>
    </row>
    <row r="441" spans="2:22" x14ac:dyDescent="0.35">
      <c r="B441" s="71">
        <f t="shared" si="52"/>
        <v>0</v>
      </c>
      <c r="C441" s="72"/>
      <c r="D441" s="140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41"/>
      <c r="R441" s="88">
        <f t="shared" si="53"/>
        <v>0</v>
      </c>
      <c r="S441" s="78">
        <f t="shared" si="54"/>
        <v>0</v>
      </c>
      <c r="T441" s="78">
        <f t="shared" si="55"/>
        <v>0</v>
      </c>
      <c r="U441" s="78">
        <f t="shared" si="56"/>
        <v>0</v>
      </c>
      <c r="V441" s="79">
        <f t="shared" si="57"/>
        <v>0</v>
      </c>
    </row>
    <row r="442" spans="2:22" x14ac:dyDescent="0.35">
      <c r="B442" s="71">
        <f t="shared" si="52"/>
        <v>0</v>
      </c>
      <c r="C442" s="72"/>
      <c r="D442" s="140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41"/>
      <c r="R442" s="88">
        <f t="shared" si="53"/>
        <v>0</v>
      </c>
      <c r="S442" s="78">
        <f t="shared" si="54"/>
        <v>0</v>
      </c>
      <c r="T442" s="78">
        <f t="shared" si="55"/>
        <v>0</v>
      </c>
      <c r="U442" s="78">
        <f t="shared" si="56"/>
        <v>0</v>
      </c>
      <c r="V442" s="79">
        <f t="shared" si="57"/>
        <v>0</v>
      </c>
    </row>
    <row r="443" spans="2:22" x14ac:dyDescent="0.35">
      <c r="B443" s="71">
        <f t="shared" si="52"/>
        <v>0</v>
      </c>
      <c r="C443" s="72"/>
      <c r="D443" s="140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41"/>
      <c r="R443" s="88">
        <f t="shared" si="53"/>
        <v>0</v>
      </c>
      <c r="S443" s="78">
        <f t="shared" si="54"/>
        <v>0</v>
      </c>
      <c r="T443" s="78">
        <f t="shared" si="55"/>
        <v>0</v>
      </c>
      <c r="U443" s="78">
        <f t="shared" si="56"/>
        <v>0</v>
      </c>
      <c r="V443" s="79">
        <f t="shared" si="57"/>
        <v>0</v>
      </c>
    </row>
    <row r="444" spans="2:22" x14ac:dyDescent="0.35">
      <c r="B444" s="71">
        <f t="shared" si="52"/>
        <v>0</v>
      </c>
      <c r="C444" s="72"/>
      <c r="D444" s="140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41"/>
      <c r="R444" s="88">
        <f t="shared" si="53"/>
        <v>0</v>
      </c>
      <c r="S444" s="78">
        <f t="shared" si="54"/>
        <v>0</v>
      </c>
      <c r="T444" s="78">
        <f t="shared" si="55"/>
        <v>0</v>
      </c>
      <c r="U444" s="78">
        <f t="shared" si="56"/>
        <v>0</v>
      </c>
      <c r="V444" s="79">
        <f t="shared" si="57"/>
        <v>0</v>
      </c>
    </row>
    <row r="445" spans="2:22" x14ac:dyDescent="0.35">
      <c r="B445" s="71">
        <f t="shared" si="52"/>
        <v>0</v>
      </c>
      <c r="C445" s="72"/>
      <c r="D445" s="140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41"/>
      <c r="R445" s="88">
        <f t="shared" si="53"/>
        <v>0</v>
      </c>
      <c r="S445" s="78">
        <f t="shared" si="54"/>
        <v>0</v>
      </c>
      <c r="T445" s="78">
        <f t="shared" si="55"/>
        <v>0</v>
      </c>
      <c r="U445" s="78">
        <f t="shared" si="56"/>
        <v>0</v>
      </c>
      <c r="V445" s="79">
        <f t="shared" si="57"/>
        <v>0</v>
      </c>
    </row>
    <row r="446" spans="2:22" x14ac:dyDescent="0.35">
      <c r="B446" s="71">
        <f t="shared" si="52"/>
        <v>0</v>
      </c>
      <c r="C446" s="72"/>
      <c r="D446" s="140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41"/>
      <c r="R446" s="88">
        <f t="shared" si="53"/>
        <v>0</v>
      </c>
      <c r="S446" s="78">
        <f t="shared" si="54"/>
        <v>0</v>
      </c>
      <c r="T446" s="78">
        <f t="shared" si="55"/>
        <v>0</v>
      </c>
      <c r="U446" s="78">
        <f t="shared" si="56"/>
        <v>0</v>
      </c>
      <c r="V446" s="79">
        <f t="shared" si="57"/>
        <v>0</v>
      </c>
    </row>
    <row r="447" spans="2:22" x14ac:dyDescent="0.35">
      <c r="B447" s="71">
        <f t="shared" si="52"/>
        <v>0</v>
      </c>
      <c r="C447" s="72"/>
      <c r="D447" s="140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41"/>
      <c r="R447" s="88">
        <f t="shared" si="53"/>
        <v>0</v>
      </c>
      <c r="S447" s="78">
        <f t="shared" si="54"/>
        <v>0</v>
      </c>
      <c r="T447" s="78">
        <f t="shared" si="55"/>
        <v>0</v>
      </c>
      <c r="U447" s="78">
        <f t="shared" si="56"/>
        <v>0</v>
      </c>
      <c r="V447" s="79">
        <f t="shared" si="57"/>
        <v>0</v>
      </c>
    </row>
    <row r="448" spans="2:22" x14ac:dyDescent="0.35">
      <c r="B448" s="71">
        <f t="shared" si="52"/>
        <v>0</v>
      </c>
      <c r="C448" s="72"/>
      <c r="D448" s="140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41"/>
      <c r="R448" s="88">
        <f t="shared" si="53"/>
        <v>0</v>
      </c>
      <c r="S448" s="78">
        <f t="shared" si="54"/>
        <v>0</v>
      </c>
      <c r="T448" s="78">
        <f t="shared" si="55"/>
        <v>0</v>
      </c>
      <c r="U448" s="78">
        <f t="shared" si="56"/>
        <v>0</v>
      </c>
      <c r="V448" s="79">
        <f t="shared" si="57"/>
        <v>0</v>
      </c>
    </row>
    <row r="449" spans="2:22" x14ac:dyDescent="0.35">
      <c r="B449" s="71">
        <f t="shared" si="52"/>
        <v>0</v>
      </c>
      <c r="C449" s="72"/>
      <c r="D449" s="140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41"/>
      <c r="R449" s="88">
        <f t="shared" si="53"/>
        <v>0</v>
      </c>
      <c r="S449" s="78">
        <f t="shared" si="54"/>
        <v>0</v>
      </c>
      <c r="T449" s="78">
        <f t="shared" si="55"/>
        <v>0</v>
      </c>
      <c r="U449" s="78">
        <f t="shared" si="56"/>
        <v>0</v>
      </c>
      <c r="V449" s="79">
        <f t="shared" si="57"/>
        <v>0</v>
      </c>
    </row>
    <row r="450" spans="2:22" x14ac:dyDescent="0.35">
      <c r="B450" s="71">
        <f t="shared" si="52"/>
        <v>0</v>
      </c>
      <c r="C450" s="72"/>
      <c r="D450" s="140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41"/>
      <c r="R450" s="88">
        <f t="shared" si="53"/>
        <v>0</v>
      </c>
      <c r="S450" s="78">
        <f t="shared" si="54"/>
        <v>0</v>
      </c>
      <c r="T450" s="78">
        <f t="shared" si="55"/>
        <v>0</v>
      </c>
      <c r="U450" s="78">
        <f t="shared" si="56"/>
        <v>0</v>
      </c>
      <c r="V450" s="79">
        <f t="shared" si="57"/>
        <v>0</v>
      </c>
    </row>
    <row r="451" spans="2:22" x14ac:dyDescent="0.35">
      <c r="B451" s="71">
        <f t="shared" si="52"/>
        <v>0</v>
      </c>
      <c r="C451" s="72"/>
      <c r="D451" s="140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41"/>
      <c r="R451" s="88">
        <f t="shared" si="53"/>
        <v>0</v>
      </c>
      <c r="S451" s="78">
        <f t="shared" si="54"/>
        <v>0</v>
      </c>
      <c r="T451" s="78">
        <f t="shared" si="55"/>
        <v>0</v>
      </c>
      <c r="U451" s="78">
        <f t="shared" si="56"/>
        <v>0</v>
      </c>
      <c r="V451" s="79">
        <f t="shared" si="57"/>
        <v>0</v>
      </c>
    </row>
    <row r="452" spans="2:22" x14ac:dyDescent="0.35">
      <c r="B452" s="71">
        <f t="shared" si="52"/>
        <v>0</v>
      </c>
      <c r="C452" s="72"/>
      <c r="D452" s="140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41"/>
      <c r="R452" s="88">
        <f t="shared" si="53"/>
        <v>0</v>
      </c>
      <c r="S452" s="78">
        <f t="shared" si="54"/>
        <v>0</v>
      </c>
      <c r="T452" s="78">
        <f t="shared" si="55"/>
        <v>0</v>
      </c>
      <c r="U452" s="78">
        <f t="shared" si="56"/>
        <v>0</v>
      </c>
      <c r="V452" s="79">
        <f t="shared" si="57"/>
        <v>0</v>
      </c>
    </row>
    <row r="453" spans="2:22" x14ac:dyDescent="0.35">
      <c r="B453" s="71">
        <f t="shared" si="52"/>
        <v>0</v>
      </c>
      <c r="C453" s="72"/>
      <c r="D453" s="140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41"/>
      <c r="R453" s="88">
        <f t="shared" si="53"/>
        <v>0</v>
      </c>
      <c r="S453" s="78">
        <f t="shared" si="54"/>
        <v>0</v>
      </c>
      <c r="T453" s="78">
        <f t="shared" si="55"/>
        <v>0</v>
      </c>
      <c r="U453" s="78">
        <f t="shared" si="56"/>
        <v>0</v>
      </c>
      <c r="V453" s="79">
        <f t="shared" si="57"/>
        <v>0</v>
      </c>
    </row>
    <row r="454" spans="2:22" x14ac:dyDescent="0.35">
      <c r="B454" s="71">
        <f t="shared" si="52"/>
        <v>0</v>
      </c>
      <c r="C454" s="72"/>
      <c r="D454" s="140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41"/>
      <c r="R454" s="88">
        <f t="shared" si="53"/>
        <v>0</v>
      </c>
      <c r="S454" s="78">
        <f t="shared" si="54"/>
        <v>0</v>
      </c>
      <c r="T454" s="78">
        <f t="shared" si="55"/>
        <v>0</v>
      </c>
      <c r="U454" s="78">
        <f t="shared" si="56"/>
        <v>0</v>
      </c>
      <c r="V454" s="79">
        <f t="shared" si="57"/>
        <v>0</v>
      </c>
    </row>
    <row r="455" spans="2:22" x14ac:dyDescent="0.35">
      <c r="B455" s="71">
        <f t="shared" si="52"/>
        <v>0</v>
      </c>
      <c r="C455" s="72"/>
      <c r="D455" s="140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41"/>
      <c r="R455" s="88">
        <f t="shared" si="53"/>
        <v>0</v>
      </c>
      <c r="S455" s="78">
        <f t="shared" si="54"/>
        <v>0</v>
      </c>
      <c r="T455" s="78">
        <f t="shared" si="55"/>
        <v>0</v>
      </c>
      <c r="U455" s="78">
        <f t="shared" si="56"/>
        <v>0</v>
      </c>
      <c r="V455" s="79">
        <f t="shared" si="57"/>
        <v>0</v>
      </c>
    </row>
    <row r="456" spans="2:22" x14ac:dyDescent="0.35">
      <c r="B456" s="71">
        <f t="shared" si="52"/>
        <v>0</v>
      </c>
      <c r="C456" s="72"/>
      <c r="D456" s="140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41"/>
      <c r="R456" s="88">
        <f t="shared" si="53"/>
        <v>0</v>
      </c>
      <c r="S456" s="78">
        <f t="shared" si="54"/>
        <v>0</v>
      </c>
      <c r="T456" s="78">
        <f t="shared" si="55"/>
        <v>0</v>
      </c>
      <c r="U456" s="78">
        <f t="shared" si="56"/>
        <v>0</v>
      </c>
      <c r="V456" s="79">
        <f t="shared" si="57"/>
        <v>0</v>
      </c>
    </row>
    <row r="457" spans="2:22" x14ac:dyDescent="0.35">
      <c r="B457" s="71">
        <f t="shared" ref="B457:B520" si="58">SUM(E457:P457)</f>
        <v>0</v>
      </c>
      <c r="C457" s="72"/>
      <c r="D457" s="140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41"/>
      <c r="R457" s="88">
        <f t="shared" si="53"/>
        <v>0</v>
      </c>
      <c r="S457" s="78">
        <f t="shared" si="54"/>
        <v>0</v>
      </c>
      <c r="T457" s="78">
        <f t="shared" si="55"/>
        <v>0</v>
      </c>
      <c r="U457" s="78">
        <f t="shared" si="56"/>
        <v>0</v>
      </c>
      <c r="V457" s="79">
        <f t="shared" si="57"/>
        <v>0</v>
      </c>
    </row>
    <row r="458" spans="2:22" x14ac:dyDescent="0.35">
      <c r="B458" s="71">
        <f t="shared" si="58"/>
        <v>0</v>
      </c>
      <c r="C458" s="72"/>
      <c r="D458" s="140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41"/>
      <c r="R458" s="88">
        <f t="shared" si="53"/>
        <v>0</v>
      </c>
      <c r="S458" s="78">
        <f t="shared" si="54"/>
        <v>0</v>
      </c>
      <c r="T458" s="78">
        <f t="shared" si="55"/>
        <v>0</v>
      </c>
      <c r="U458" s="78">
        <f t="shared" si="56"/>
        <v>0</v>
      </c>
      <c r="V458" s="79">
        <f t="shared" si="57"/>
        <v>0</v>
      </c>
    </row>
    <row r="459" spans="2:22" x14ac:dyDescent="0.35">
      <c r="B459" s="71">
        <f t="shared" si="58"/>
        <v>0</v>
      </c>
      <c r="C459" s="72"/>
      <c r="D459" s="140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41"/>
      <c r="R459" s="88">
        <f t="shared" ref="R459:R522" si="59">SUM(E459:P459)</f>
        <v>0</v>
      </c>
      <c r="S459" s="78">
        <f t="shared" ref="S459:S522" si="60">SUM(H459:P459)/9*12</f>
        <v>0</v>
      </c>
      <c r="T459" s="78">
        <f t="shared" ref="T459:T522" si="61">SUM(K459:P459)*2</f>
        <v>0</v>
      </c>
      <c r="U459" s="78">
        <f t="shared" ref="U459:U522" si="62">SUM(N459:P459)*4</f>
        <v>0</v>
      </c>
      <c r="V459" s="79">
        <f t="shared" ref="V459:V522" si="63">SUM(P459)*12</f>
        <v>0</v>
      </c>
    </row>
    <row r="460" spans="2:22" x14ac:dyDescent="0.35">
      <c r="B460" s="71">
        <f t="shared" si="58"/>
        <v>0</v>
      </c>
      <c r="C460" s="72"/>
      <c r="D460" s="140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41"/>
      <c r="R460" s="88">
        <f t="shared" si="59"/>
        <v>0</v>
      </c>
      <c r="S460" s="78">
        <f t="shared" si="60"/>
        <v>0</v>
      </c>
      <c r="T460" s="78">
        <f t="shared" si="61"/>
        <v>0</v>
      </c>
      <c r="U460" s="78">
        <f t="shared" si="62"/>
        <v>0</v>
      </c>
      <c r="V460" s="79">
        <f t="shared" si="63"/>
        <v>0</v>
      </c>
    </row>
    <row r="461" spans="2:22" x14ac:dyDescent="0.35">
      <c r="B461" s="71">
        <f t="shared" si="58"/>
        <v>0</v>
      </c>
      <c r="C461" s="72"/>
      <c r="D461" s="140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41"/>
      <c r="R461" s="88">
        <f t="shared" si="59"/>
        <v>0</v>
      </c>
      <c r="S461" s="78">
        <f t="shared" si="60"/>
        <v>0</v>
      </c>
      <c r="T461" s="78">
        <f t="shared" si="61"/>
        <v>0</v>
      </c>
      <c r="U461" s="78">
        <f t="shared" si="62"/>
        <v>0</v>
      </c>
      <c r="V461" s="79">
        <f t="shared" si="63"/>
        <v>0</v>
      </c>
    </row>
    <row r="462" spans="2:22" x14ac:dyDescent="0.35">
      <c r="B462" s="71">
        <f t="shared" si="58"/>
        <v>0</v>
      </c>
      <c r="C462" s="72"/>
      <c r="D462" s="140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41"/>
      <c r="R462" s="88">
        <f t="shared" si="59"/>
        <v>0</v>
      </c>
      <c r="S462" s="78">
        <f t="shared" si="60"/>
        <v>0</v>
      </c>
      <c r="T462" s="78">
        <f t="shared" si="61"/>
        <v>0</v>
      </c>
      <c r="U462" s="78">
        <f t="shared" si="62"/>
        <v>0</v>
      </c>
      <c r="V462" s="79">
        <f t="shared" si="63"/>
        <v>0</v>
      </c>
    </row>
    <row r="463" spans="2:22" x14ac:dyDescent="0.35">
      <c r="B463" s="71">
        <f t="shared" si="58"/>
        <v>0</v>
      </c>
      <c r="C463" s="72"/>
      <c r="D463" s="140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41"/>
      <c r="R463" s="88">
        <f t="shared" si="59"/>
        <v>0</v>
      </c>
      <c r="S463" s="78">
        <f t="shared" si="60"/>
        <v>0</v>
      </c>
      <c r="T463" s="78">
        <f t="shared" si="61"/>
        <v>0</v>
      </c>
      <c r="U463" s="78">
        <f t="shared" si="62"/>
        <v>0</v>
      </c>
      <c r="V463" s="79">
        <f t="shared" si="63"/>
        <v>0</v>
      </c>
    </row>
    <row r="464" spans="2:22" x14ac:dyDescent="0.35">
      <c r="B464" s="71">
        <f t="shared" si="58"/>
        <v>0</v>
      </c>
      <c r="C464" s="72"/>
      <c r="D464" s="140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41"/>
      <c r="R464" s="88">
        <f t="shared" si="59"/>
        <v>0</v>
      </c>
      <c r="S464" s="78">
        <f t="shared" si="60"/>
        <v>0</v>
      </c>
      <c r="T464" s="78">
        <f t="shared" si="61"/>
        <v>0</v>
      </c>
      <c r="U464" s="78">
        <f t="shared" si="62"/>
        <v>0</v>
      </c>
      <c r="V464" s="79">
        <f t="shared" si="63"/>
        <v>0</v>
      </c>
    </row>
    <row r="465" spans="2:22" x14ac:dyDescent="0.35">
      <c r="B465" s="71">
        <f t="shared" si="58"/>
        <v>0</v>
      </c>
      <c r="C465" s="72"/>
      <c r="D465" s="140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41"/>
      <c r="R465" s="88">
        <f t="shared" si="59"/>
        <v>0</v>
      </c>
      <c r="S465" s="78">
        <f t="shared" si="60"/>
        <v>0</v>
      </c>
      <c r="T465" s="78">
        <f t="shared" si="61"/>
        <v>0</v>
      </c>
      <c r="U465" s="78">
        <f t="shared" si="62"/>
        <v>0</v>
      </c>
      <c r="V465" s="79">
        <f t="shared" si="63"/>
        <v>0</v>
      </c>
    </row>
    <row r="466" spans="2:22" x14ac:dyDescent="0.35">
      <c r="B466" s="71">
        <f t="shared" si="58"/>
        <v>0</v>
      </c>
      <c r="C466" s="72"/>
      <c r="D466" s="140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41"/>
      <c r="R466" s="88">
        <f t="shared" si="59"/>
        <v>0</v>
      </c>
      <c r="S466" s="78">
        <f t="shared" si="60"/>
        <v>0</v>
      </c>
      <c r="T466" s="78">
        <f t="shared" si="61"/>
        <v>0</v>
      </c>
      <c r="U466" s="78">
        <f t="shared" si="62"/>
        <v>0</v>
      </c>
      <c r="V466" s="79">
        <f t="shared" si="63"/>
        <v>0</v>
      </c>
    </row>
    <row r="467" spans="2:22" x14ac:dyDescent="0.35">
      <c r="B467" s="71">
        <f t="shared" si="58"/>
        <v>0</v>
      </c>
      <c r="C467" s="72"/>
      <c r="D467" s="140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41"/>
      <c r="R467" s="88">
        <f t="shared" si="59"/>
        <v>0</v>
      </c>
      <c r="S467" s="78">
        <f t="shared" si="60"/>
        <v>0</v>
      </c>
      <c r="T467" s="78">
        <f t="shared" si="61"/>
        <v>0</v>
      </c>
      <c r="U467" s="78">
        <f t="shared" si="62"/>
        <v>0</v>
      </c>
      <c r="V467" s="79">
        <f t="shared" si="63"/>
        <v>0</v>
      </c>
    </row>
    <row r="468" spans="2:22" x14ac:dyDescent="0.35">
      <c r="B468" s="71">
        <f t="shared" si="58"/>
        <v>0</v>
      </c>
      <c r="C468" s="72"/>
      <c r="D468" s="140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41"/>
      <c r="R468" s="88">
        <f t="shared" si="59"/>
        <v>0</v>
      </c>
      <c r="S468" s="78">
        <f t="shared" si="60"/>
        <v>0</v>
      </c>
      <c r="T468" s="78">
        <f t="shared" si="61"/>
        <v>0</v>
      </c>
      <c r="U468" s="78">
        <f t="shared" si="62"/>
        <v>0</v>
      </c>
      <c r="V468" s="79">
        <f t="shared" si="63"/>
        <v>0</v>
      </c>
    </row>
    <row r="469" spans="2:22" x14ac:dyDescent="0.35">
      <c r="B469" s="71">
        <f t="shared" si="58"/>
        <v>0</v>
      </c>
      <c r="C469" s="72"/>
      <c r="D469" s="140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41"/>
      <c r="R469" s="88">
        <f t="shared" si="59"/>
        <v>0</v>
      </c>
      <c r="S469" s="78">
        <f t="shared" si="60"/>
        <v>0</v>
      </c>
      <c r="T469" s="78">
        <f t="shared" si="61"/>
        <v>0</v>
      </c>
      <c r="U469" s="78">
        <f t="shared" si="62"/>
        <v>0</v>
      </c>
      <c r="V469" s="79">
        <f t="shared" si="63"/>
        <v>0</v>
      </c>
    </row>
    <row r="470" spans="2:22" x14ac:dyDescent="0.35">
      <c r="B470" s="71">
        <f t="shared" si="58"/>
        <v>0</v>
      </c>
      <c r="C470" s="72"/>
      <c r="D470" s="140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41"/>
      <c r="R470" s="88">
        <f t="shared" si="59"/>
        <v>0</v>
      </c>
      <c r="S470" s="78">
        <f t="shared" si="60"/>
        <v>0</v>
      </c>
      <c r="T470" s="78">
        <f t="shared" si="61"/>
        <v>0</v>
      </c>
      <c r="U470" s="78">
        <f t="shared" si="62"/>
        <v>0</v>
      </c>
      <c r="V470" s="79">
        <f t="shared" si="63"/>
        <v>0</v>
      </c>
    </row>
    <row r="471" spans="2:22" x14ac:dyDescent="0.35">
      <c r="B471" s="71">
        <f t="shared" si="58"/>
        <v>0</v>
      </c>
      <c r="C471" s="72"/>
      <c r="D471" s="140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41"/>
      <c r="R471" s="88">
        <f t="shared" si="59"/>
        <v>0</v>
      </c>
      <c r="S471" s="78">
        <f t="shared" si="60"/>
        <v>0</v>
      </c>
      <c r="T471" s="78">
        <f t="shared" si="61"/>
        <v>0</v>
      </c>
      <c r="U471" s="78">
        <f t="shared" si="62"/>
        <v>0</v>
      </c>
      <c r="V471" s="79">
        <f t="shared" si="63"/>
        <v>0</v>
      </c>
    </row>
    <row r="472" spans="2:22" x14ac:dyDescent="0.35">
      <c r="B472" s="71">
        <f t="shared" si="58"/>
        <v>0</v>
      </c>
      <c r="C472" s="72"/>
      <c r="D472" s="140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41"/>
      <c r="R472" s="88">
        <f t="shared" si="59"/>
        <v>0</v>
      </c>
      <c r="S472" s="78">
        <f t="shared" si="60"/>
        <v>0</v>
      </c>
      <c r="T472" s="78">
        <f t="shared" si="61"/>
        <v>0</v>
      </c>
      <c r="U472" s="78">
        <f t="shared" si="62"/>
        <v>0</v>
      </c>
      <c r="V472" s="79">
        <f t="shared" si="63"/>
        <v>0</v>
      </c>
    </row>
    <row r="473" spans="2:22" x14ac:dyDescent="0.35">
      <c r="B473" s="71">
        <f t="shared" si="58"/>
        <v>0</v>
      </c>
      <c r="C473" s="72"/>
      <c r="D473" s="140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41"/>
      <c r="R473" s="88">
        <f t="shared" si="59"/>
        <v>0</v>
      </c>
      <c r="S473" s="78">
        <f t="shared" si="60"/>
        <v>0</v>
      </c>
      <c r="T473" s="78">
        <f t="shared" si="61"/>
        <v>0</v>
      </c>
      <c r="U473" s="78">
        <f t="shared" si="62"/>
        <v>0</v>
      </c>
      <c r="V473" s="79">
        <f t="shared" si="63"/>
        <v>0</v>
      </c>
    </row>
    <row r="474" spans="2:22" x14ac:dyDescent="0.35">
      <c r="B474" s="71">
        <f t="shared" si="58"/>
        <v>0</v>
      </c>
      <c r="C474" s="72"/>
      <c r="D474" s="140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41"/>
      <c r="R474" s="88">
        <f t="shared" si="59"/>
        <v>0</v>
      </c>
      <c r="S474" s="78">
        <f t="shared" si="60"/>
        <v>0</v>
      </c>
      <c r="T474" s="78">
        <f t="shared" si="61"/>
        <v>0</v>
      </c>
      <c r="U474" s="78">
        <f t="shared" si="62"/>
        <v>0</v>
      </c>
      <c r="V474" s="79">
        <f t="shared" si="63"/>
        <v>0</v>
      </c>
    </row>
    <row r="475" spans="2:22" x14ac:dyDescent="0.35">
      <c r="B475" s="71">
        <f t="shared" si="58"/>
        <v>0</v>
      </c>
      <c r="C475" s="72"/>
      <c r="D475" s="140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41"/>
      <c r="R475" s="88">
        <f t="shared" si="59"/>
        <v>0</v>
      </c>
      <c r="S475" s="78">
        <f t="shared" si="60"/>
        <v>0</v>
      </c>
      <c r="T475" s="78">
        <f t="shared" si="61"/>
        <v>0</v>
      </c>
      <c r="U475" s="78">
        <f t="shared" si="62"/>
        <v>0</v>
      </c>
      <c r="V475" s="79">
        <f t="shared" si="63"/>
        <v>0</v>
      </c>
    </row>
    <row r="476" spans="2:22" x14ac:dyDescent="0.35">
      <c r="B476" s="71">
        <f t="shared" si="58"/>
        <v>0</v>
      </c>
      <c r="C476" s="72"/>
      <c r="D476" s="140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41"/>
      <c r="R476" s="88">
        <f t="shared" si="59"/>
        <v>0</v>
      </c>
      <c r="S476" s="78">
        <f t="shared" si="60"/>
        <v>0</v>
      </c>
      <c r="T476" s="78">
        <f t="shared" si="61"/>
        <v>0</v>
      </c>
      <c r="U476" s="78">
        <f t="shared" si="62"/>
        <v>0</v>
      </c>
      <c r="V476" s="79">
        <f t="shared" si="63"/>
        <v>0</v>
      </c>
    </row>
    <row r="477" spans="2:22" x14ac:dyDescent="0.35">
      <c r="B477" s="71">
        <f t="shared" si="58"/>
        <v>0</v>
      </c>
      <c r="C477" s="72"/>
      <c r="D477" s="140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41"/>
      <c r="R477" s="88">
        <f t="shared" si="59"/>
        <v>0</v>
      </c>
      <c r="S477" s="78">
        <f t="shared" si="60"/>
        <v>0</v>
      </c>
      <c r="T477" s="78">
        <f t="shared" si="61"/>
        <v>0</v>
      </c>
      <c r="U477" s="78">
        <f t="shared" si="62"/>
        <v>0</v>
      </c>
      <c r="V477" s="79">
        <f t="shared" si="63"/>
        <v>0</v>
      </c>
    </row>
    <row r="478" spans="2:22" x14ac:dyDescent="0.35">
      <c r="B478" s="71">
        <f t="shared" si="58"/>
        <v>0</v>
      </c>
      <c r="C478" s="72"/>
      <c r="D478" s="140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41"/>
      <c r="R478" s="88">
        <f t="shared" si="59"/>
        <v>0</v>
      </c>
      <c r="S478" s="78">
        <f t="shared" si="60"/>
        <v>0</v>
      </c>
      <c r="T478" s="78">
        <f t="shared" si="61"/>
        <v>0</v>
      </c>
      <c r="U478" s="78">
        <f t="shared" si="62"/>
        <v>0</v>
      </c>
      <c r="V478" s="79">
        <f t="shared" si="63"/>
        <v>0</v>
      </c>
    </row>
    <row r="479" spans="2:22" x14ac:dyDescent="0.35">
      <c r="B479" s="71">
        <f t="shared" si="58"/>
        <v>0</v>
      </c>
      <c r="C479" s="72"/>
      <c r="D479" s="140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41"/>
      <c r="R479" s="88">
        <f t="shared" si="59"/>
        <v>0</v>
      </c>
      <c r="S479" s="78">
        <f t="shared" si="60"/>
        <v>0</v>
      </c>
      <c r="T479" s="78">
        <f t="shared" si="61"/>
        <v>0</v>
      </c>
      <c r="U479" s="78">
        <f t="shared" si="62"/>
        <v>0</v>
      </c>
      <c r="V479" s="79">
        <f t="shared" si="63"/>
        <v>0</v>
      </c>
    </row>
    <row r="480" spans="2:22" x14ac:dyDescent="0.35">
      <c r="B480" s="71">
        <f t="shared" si="58"/>
        <v>0</v>
      </c>
      <c r="C480" s="72"/>
      <c r="D480" s="140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41"/>
      <c r="R480" s="88">
        <f t="shared" si="59"/>
        <v>0</v>
      </c>
      <c r="S480" s="78">
        <f t="shared" si="60"/>
        <v>0</v>
      </c>
      <c r="T480" s="78">
        <f t="shared" si="61"/>
        <v>0</v>
      </c>
      <c r="U480" s="78">
        <f t="shared" si="62"/>
        <v>0</v>
      </c>
      <c r="V480" s="79">
        <f t="shared" si="63"/>
        <v>0</v>
      </c>
    </row>
    <row r="481" spans="2:22" x14ac:dyDescent="0.35">
      <c r="B481" s="71">
        <f t="shared" si="58"/>
        <v>0</v>
      </c>
      <c r="C481" s="72"/>
      <c r="D481" s="140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41"/>
      <c r="R481" s="88">
        <f t="shared" si="59"/>
        <v>0</v>
      </c>
      <c r="S481" s="78">
        <f t="shared" si="60"/>
        <v>0</v>
      </c>
      <c r="T481" s="78">
        <f t="shared" si="61"/>
        <v>0</v>
      </c>
      <c r="U481" s="78">
        <f t="shared" si="62"/>
        <v>0</v>
      </c>
      <c r="V481" s="79">
        <f t="shared" si="63"/>
        <v>0</v>
      </c>
    </row>
    <row r="482" spans="2:22" x14ac:dyDescent="0.35">
      <c r="B482" s="71">
        <f t="shared" si="58"/>
        <v>0</v>
      </c>
      <c r="C482" s="72"/>
      <c r="D482" s="140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41"/>
      <c r="R482" s="88">
        <f t="shared" si="59"/>
        <v>0</v>
      </c>
      <c r="S482" s="78">
        <f t="shared" si="60"/>
        <v>0</v>
      </c>
      <c r="T482" s="78">
        <f t="shared" si="61"/>
        <v>0</v>
      </c>
      <c r="U482" s="78">
        <f t="shared" si="62"/>
        <v>0</v>
      </c>
      <c r="V482" s="79">
        <f t="shared" si="63"/>
        <v>0</v>
      </c>
    </row>
    <row r="483" spans="2:22" x14ac:dyDescent="0.35">
      <c r="B483" s="71">
        <f t="shared" si="58"/>
        <v>0</v>
      </c>
      <c r="C483" s="72"/>
      <c r="D483" s="140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41"/>
      <c r="R483" s="88">
        <f t="shared" si="59"/>
        <v>0</v>
      </c>
      <c r="S483" s="78">
        <f t="shared" si="60"/>
        <v>0</v>
      </c>
      <c r="T483" s="78">
        <f t="shared" si="61"/>
        <v>0</v>
      </c>
      <c r="U483" s="78">
        <f t="shared" si="62"/>
        <v>0</v>
      </c>
      <c r="V483" s="79">
        <f t="shared" si="63"/>
        <v>0</v>
      </c>
    </row>
    <row r="484" spans="2:22" x14ac:dyDescent="0.35">
      <c r="B484" s="71">
        <f t="shared" si="58"/>
        <v>0</v>
      </c>
      <c r="C484" s="72"/>
      <c r="D484" s="140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41"/>
      <c r="R484" s="88">
        <f t="shared" si="59"/>
        <v>0</v>
      </c>
      <c r="S484" s="78">
        <f t="shared" si="60"/>
        <v>0</v>
      </c>
      <c r="T484" s="78">
        <f t="shared" si="61"/>
        <v>0</v>
      </c>
      <c r="U484" s="78">
        <f t="shared" si="62"/>
        <v>0</v>
      </c>
      <c r="V484" s="79">
        <f t="shared" si="63"/>
        <v>0</v>
      </c>
    </row>
    <row r="485" spans="2:22" x14ac:dyDescent="0.35">
      <c r="B485" s="71">
        <f t="shared" si="58"/>
        <v>0</v>
      </c>
      <c r="C485" s="72"/>
      <c r="D485" s="140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41"/>
      <c r="R485" s="88">
        <f t="shared" si="59"/>
        <v>0</v>
      </c>
      <c r="S485" s="78">
        <f t="shared" si="60"/>
        <v>0</v>
      </c>
      <c r="T485" s="78">
        <f t="shared" si="61"/>
        <v>0</v>
      </c>
      <c r="U485" s="78">
        <f t="shared" si="62"/>
        <v>0</v>
      </c>
      <c r="V485" s="79">
        <f t="shared" si="63"/>
        <v>0</v>
      </c>
    </row>
    <row r="486" spans="2:22" x14ac:dyDescent="0.35">
      <c r="B486" s="71">
        <f t="shared" si="58"/>
        <v>0</v>
      </c>
      <c r="C486" s="72"/>
      <c r="D486" s="140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41"/>
      <c r="R486" s="88">
        <f t="shared" si="59"/>
        <v>0</v>
      </c>
      <c r="S486" s="78">
        <f t="shared" si="60"/>
        <v>0</v>
      </c>
      <c r="T486" s="78">
        <f t="shared" si="61"/>
        <v>0</v>
      </c>
      <c r="U486" s="78">
        <f t="shared" si="62"/>
        <v>0</v>
      </c>
      <c r="V486" s="79">
        <f t="shared" si="63"/>
        <v>0</v>
      </c>
    </row>
    <row r="487" spans="2:22" x14ac:dyDescent="0.35">
      <c r="B487" s="71">
        <f t="shared" si="58"/>
        <v>0</v>
      </c>
      <c r="C487" s="72"/>
      <c r="D487" s="140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41"/>
      <c r="R487" s="88">
        <f t="shared" si="59"/>
        <v>0</v>
      </c>
      <c r="S487" s="78">
        <f t="shared" si="60"/>
        <v>0</v>
      </c>
      <c r="T487" s="78">
        <f t="shared" si="61"/>
        <v>0</v>
      </c>
      <c r="U487" s="78">
        <f t="shared" si="62"/>
        <v>0</v>
      </c>
      <c r="V487" s="79">
        <f t="shared" si="63"/>
        <v>0</v>
      </c>
    </row>
    <row r="488" spans="2:22" x14ac:dyDescent="0.35">
      <c r="B488" s="71">
        <f t="shared" si="58"/>
        <v>0</v>
      </c>
      <c r="C488" s="72"/>
      <c r="D488" s="140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41"/>
      <c r="R488" s="88">
        <f t="shared" si="59"/>
        <v>0</v>
      </c>
      <c r="S488" s="78">
        <f t="shared" si="60"/>
        <v>0</v>
      </c>
      <c r="T488" s="78">
        <f t="shared" si="61"/>
        <v>0</v>
      </c>
      <c r="U488" s="78">
        <f t="shared" si="62"/>
        <v>0</v>
      </c>
      <c r="V488" s="79">
        <f t="shared" si="63"/>
        <v>0</v>
      </c>
    </row>
    <row r="489" spans="2:22" x14ac:dyDescent="0.35">
      <c r="B489" s="71">
        <f t="shared" si="58"/>
        <v>0</v>
      </c>
      <c r="C489" s="72"/>
      <c r="D489" s="140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41"/>
      <c r="R489" s="88">
        <f t="shared" si="59"/>
        <v>0</v>
      </c>
      <c r="S489" s="78">
        <f t="shared" si="60"/>
        <v>0</v>
      </c>
      <c r="T489" s="78">
        <f t="shared" si="61"/>
        <v>0</v>
      </c>
      <c r="U489" s="78">
        <f t="shared" si="62"/>
        <v>0</v>
      </c>
      <c r="V489" s="79">
        <f t="shared" si="63"/>
        <v>0</v>
      </c>
    </row>
    <row r="490" spans="2:22" x14ac:dyDescent="0.35">
      <c r="B490" s="71">
        <f t="shared" si="58"/>
        <v>0</v>
      </c>
      <c r="C490" s="72"/>
      <c r="D490" s="140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41"/>
      <c r="R490" s="88">
        <f t="shared" si="59"/>
        <v>0</v>
      </c>
      <c r="S490" s="78">
        <f t="shared" si="60"/>
        <v>0</v>
      </c>
      <c r="T490" s="78">
        <f t="shared" si="61"/>
        <v>0</v>
      </c>
      <c r="U490" s="78">
        <f t="shared" si="62"/>
        <v>0</v>
      </c>
      <c r="V490" s="79">
        <f t="shared" si="63"/>
        <v>0</v>
      </c>
    </row>
    <row r="491" spans="2:22" x14ac:dyDescent="0.35">
      <c r="B491" s="71">
        <f t="shared" si="58"/>
        <v>0</v>
      </c>
      <c r="C491" s="72"/>
      <c r="D491" s="140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41"/>
      <c r="R491" s="88">
        <f t="shared" si="59"/>
        <v>0</v>
      </c>
      <c r="S491" s="78">
        <f t="shared" si="60"/>
        <v>0</v>
      </c>
      <c r="T491" s="78">
        <f t="shared" si="61"/>
        <v>0</v>
      </c>
      <c r="U491" s="78">
        <f t="shared" si="62"/>
        <v>0</v>
      </c>
      <c r="V491" s="79">
        <f t="shared" si="63"/>
        <v>0</v>
      </c>
    </row>
    <row r="492" spans="2:22" x14ac:dyDescent="0.35">
      <c r="B492" s="71">
        <f t="shared" si="58"/>
        <v>0</v>
      </c>
      <c r="C492" s="72"/>
      <c r="D492" s="140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41"/>
      <c r="R492" s="88">
        <f t="shared" si="59"/>
        <v>0</v>
      </c>
      <c r="S492" s="78">
        <f t="shared" si="60"/>
        <v>0</v>
      </c>
      <c r="T492" s="78">
        <f t="shared" si="61"/>
        <v>0</v>
      </c>
      <c r="U492" s="78">
        <f t="shared" si="62"/>
        <v>0</v>
      </c>
      <c r="V492" s="79">
        <f t="shared" si="63"/>
        <v>0</v>
      </c>
    </row>
    <row r="493" spans="2:22" x14ac:dyDescent="0.35">
      <c r="B493" s="71">
        <f t="shared" si="58"/>
        <v>0</v>
      </c>
      <c r="C493" s="72"/>
      <c r="D493" s="140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41"/>
      <c r="R493" s="88">
        <f t="shared" si="59"/>
        <v>0</v>
      </c>
      <c r="S493" s="78">
        <f t="shared" si="60"/>
        <v>0</v>
      </c>
      <c r="T493" s="78">
        <f t="shared" si="61"/>
        <v>0</v>
      </c>
      <c r="U493" s="78">
        <f t="shared" si="62"/>
        <v>0</v>
      </c>
      <c r="V493" s="79">
        <f t="shared" si="63"/>
        <v>0</v>
      </c>
    </row>
    <row r="494" spans="2:22" x14ac:dyDescent="0.35">
      <c r="B494" s="71">
        <f t="shared" si="58"/>
        <v>0</v>
      </c>
      <c r="C494" s="72"/>
      <c r="D494" s="140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41"/>
      <c r="R494" s="88">
        <f t="shared" si="59"/>
        <v>0</v>
      </c>
      <c r="S494" s="78">
        <f t="shared" si="60"/>
        <v>0</v>
      </c>
      <c r="T494" s="78">
        <f t="shared" si="61"/>
        <v>0</v>
      </c>
      <c r="U494" s="78">
        <f t="shared" si="62"/>
        <v>0</v>
      </c>
      <c r="V494" s="79">
        <f t="shared" si="63"/>
        <v>0</v>
      </c>
    </row>
    <row r="495" spans="2:22" x14ac:dyDescent="0.35">
      <c r="B495" s="71">
        <f t="shared" si="58"/>
        <v>0</v>
      </c>
      <c r="C495" s="72"/>
      <c r="D495" s="140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41"/>
      <c r="R495" s="88">
        <f t="shared" si="59"/>
        <v>0</v>
      </c>
      <c r="S495" s="78">
        <f t="shared" si="60"/>
        <v>0</v>
      </c>
      <c r="T495" s="78">
        <f t="shared" si="61"/>
        <v>0</v>
      </c>
      <c r="U495" s="78">
        <f t="shared" si="62"/>
        <v>0</v>
      </c>
      <c r="V495" s="79">
        <f t="shared" si="63"/>
        <v>0</v>
      </c>
    </row>
    <row r="496" spans="2:22" x14ac:dyDescent="0.35">
      <c r="B496" s="71">
        <f t="shared" si="58"/>
        <v>0</v>
      </c>
      <c r="C496" s="72"/>
      <c r="D496" s="140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41"/>
      <c r="R496" s="88">
        <f t="shared" si="59"/>
        <v>0</v>
      </c>
      <c r="S496" s="78">
        <f t="shared" si="60"/>
        <v>0</v>
      </c>
      <c r="T496" s="78">
        <f t="shared" si="61"/>
        <v>0</v>
      </c>
      <c r="U496" s="78">
        <f t="shared" si="62"/>
        <v>0</v>
      </c>
      <c r="V496" s="79">
        <f t="shared" si="63"/>
        <v>0</v>
      </c>
    </row>
    <row r="497" spans="2:22" x14ac:dyDescent="0.35">
      <c r="B497" s="71">
        <f t="shared" si="58"/>
        <v>0</v>
      </c>
      <c r="C497" s="72"/>
      <c r="D497" s="140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41"/>
      <c r="R497" s="88">
        <f t="shared" si="59"/>
        <v>0</v>
      </c>
      <c r="S497" s="78">
        <f t="shared" si="60"/>
        <v>0</v>
      </c>
      <c r="T497" s="78">
        <f t="shared" si="61"/>
        <v>0</v>
      </c>
      <c r="U497" s="78">
        <f t="shared" si="62"/>
        <v>0</v>
      </c>
      <c r="V497" s="79">
        <f t="shared" si="63"/>
        <v>0</v>
      </c>
    </row>
    <row r="498" spans="2:22" x14ac:dyDescent="0.35">
      <c r="B498" s="71">
        <f t="shared" si="58"/>
        <v>0</v>
      </c>
      <c r="C498" s="72"/>
      <c r="D498" s="140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41"/>
      <c r="R498" s="88">
        <f t="shared" si="59"/>
        <v>0</v>
      </c>
      <c r="S498" s="78">
        <f t="shared" si="60"/>
        <v>0</v>
      </c>
      <c r="T498" s="78">
        <f t="shared" si="61"/>
        <v>0</v>
      </c>
      <c r="U498" s="78">
        <f t="shared" si="62"/>
        <v>0</v>
      </c>
      <c r="V498" s="79">
        <f t="shared" si="63"/>
        <v>0</v>
      </c>
    </row>
    <row r="499" spans="2:22" x14ac:dyDescent="0.35">
      <c r="B499" s="71">
        <f t="shared" si="58"/>
        <v>0</v>
      </c>
      <c r="C499" s="72"/>
      <c r="D499" s="140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41"/>
      <c r="R499" s="88">
        <f t="shared" si="59"/>
        <v>0</v>
      </c>
      <c r="S499" s="78">
        <f t="shared" si="60"/>
        <v>0</v>
      </c>
      <c r="T499" s="78">
        <f t="shared" si="61"/>
        <v>0</v>
      </c>
      <c r="U499" s="78">
        <f t="shared" si="62"/>
        <v>0</v>
      </c>
      <c r="V499" s="79">
        <f t="shared" si="63"/>
        <v>0</v>
      </c>
    </row>
    <row r="500" spans="2:22" x14ac:dyDescent="0.35">
      <c r="B500" s="71">
        <f t="shared" si="58"/>
        <v>0</v>
      </c>
      <c r="C500" s="72"/>
      <c r="D500" s="140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41"/>
      <c r="R500" s="88">
        <f t="shared" si="59"/>
        <v>0</v>
      </c>
      <c r="S500" s="78">
        <f t="shared" si="60"/>
        <v>0</v>
      </c>
      <c r="T500" s="78">
        <f t="shared" si="61"/>
        <v>0</v>
      </c>
      <c r="U500" s="78">
        <f t="shared" si="62"/>
        <v>0</v>
      </c>
      <c r="V500" s="79">
        <f t="shared" si="63"/>
        <v>0</v>
      </c>
    </row>
    <row r="501" spans="2:22" x14ac:dyDescent="0.35">
      <c r="B501" s="71">
        <f t="shared" si="58"/>
        <v>0</v>
      </c>
      <c r="C501" s="72"/>
      <c r="D501" s="140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41"/>
      <c r="R501" s="88">
        <f t="shared" si="59"/>
        <v>0</v>
      </c>
      <c r="S501" s="78">
        <f t="shared" si="60"/>
        <v>0</v>
      </c>
      <c r="T501" s="78">
        <f t="shared" si="61"/>
        <v>0</v>
      </c>
      <c r="U501" s="78">
        <f t="shared" si="62"/>
        <v>0</v>
      </c>
      <c r="V501" s="79">
        <f t="shared" si="63"/>
        <v>0</v>
      </c>
    </row>
    <row r="502" spans="2:22" x14ac:dyDescent="0.35">
      <c r="B502" s="71">
        <f t="shared" si="58"/>
        <v>0</v>
      </c>
      <c r="C502" s="72"/>
      <c r="D502" s="140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41"/>
      <c r="R502" s="88">
        <f t="shared" si="59"/>
        <v>0</v>
      </c>
      <c r="S502" s="78">
        <f t="shared" si="60"/>
        <v>0</v>
      </c>
      <c r="T502" s="78">
        <f t="shared" si="61"/>
        <v>0</v>
      </c>
      <c r="U502" s="78">
        <f t="shared" si="62"/>
        <v>0</v>
      </c>
      <c r="V502" s="79">
        <f t="shared" si="63"/>
        <v>0</v>
      </c>
    </row>
    <row r="503" spans="2:22" x14ac:dyDescent="0.35">
      <c r="B503" s="71">
        <f t="shared" si="58"/>
        <v>0</v>
      </c>
      <c r="C503" s="72"/>
      <c r="D503" s="140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41"/>
      <c r="R503" s="88">
        <f t="shared" si="59"/>
        <v>0</v>
      </c>
      <c r="S503" s="78">
        <f t="shared" si="60"/>
        <v>0</v>
      </c>
      <c r="T503" s="78">
        <f t="shared" si="61"/>
        <v>0</v>
      </c>
      <c r="U503" s="78">
        <f t="shared" si="62"/>
        <v>0</v>
      </c>
      <c r="V503" s="79">
        <f t="shared" si="63"/>
        <v>0</v>
      </c>
    </row>
    <row r="504" spans="2:22" x14ac:dyDescent="0.35">
      <c r="B504" s="71">
        <f t="shared" si="58"/>
        <v>0</v>
      </c>
      <c r="C504" s="72"/>
      <c r="D504" s="140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41"/>
      <c r="R504" s="88">
        <f t="shared" si="59"/>
        <v>0</v>
      </c>
      <c r="S504" s="78">
        <f t="shared" si="60"/>
        <v>0</v>
      </c>
      <c r="T504" s="78">
        <f t="shared" si="61"/>
        <v>0</v>
      </c>
      <c r="U504" s="78">
        <f t="shared" si="62"/>
        <v>0</v>
      </c>
      <c r="V504" s="79">
        <f t="shared" si="63"/>
        <v>0</v>
      </c>
    </row>
    <row r="505" spans="2:22" x14ac:dyDescent="0.35">
      <c r="B505" s="71">
        <f t="shared" si="58"/>
        <v>0</v>
      </c>
      <c r="C505" s="72"/>
      <c r="D505" s="140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41"/>
      <c r="R505" s="88">
        <f t="shared" si="59"/>
        <v>0</v>
      </c>
      <c r="S505" s="78">
        <f t="shared" si="60"/>
        <v>0</v>
      </c>
      <c r="T505" s="78">
        <f t="shared" si="61"/>
        <v>0</v>
      </c>
      <c r="U505" s="78">
        <f t="shared" si="62"/>
        <v>0</v>
      </c>
      <c r="V505" s="79">
        <f t="shared" si="63"/>
        <v>0</v>
      </c>
    </row>
    <row r="506" spans="2:22" x14ac:dyDescent="0.35">
      <c r="B506" s="71">
        <f t="shared" si="58"/>
        <v>0</v>
      </c>
      <c r="C506" s="72"/>
      <c r="D506" s="140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41"/>
      <c r="R506" s="88">
        <f t="shared" si="59"/>
        <v>0</v>
      </c>
      <c r="S506" s="78">
        <f t="shared" si="60"/>
        <v>0</v>
      </c>
      <c r="T506" s="78">
        <f t="shared" si="61"/>
        <v>0</v>
      </c>
      <c r="U506" s="78">
        <f t="shared" si="62"/>
        <v>0</v>
      </c>
      <c r="V506" s="79">
        <f t="shared" si="63"/>
        <v>0</v>
      </c>
    </row>
    <row r="507" spans="2:22" x14ac:dyDescent="0.35">
      <c r="B507" s="71">
        <f t="shared" si="58"/>
        <v>0</v>
      </c>
      <c r="C507" s="72"/>
      <c r="D507" s="140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41"/>
      <c r="R507" s="88">
        <f t="shared" si="59"/>
        <v>0</v>
      </c>
      <c r="S507" s="78">
        <f t="shared" si="60"/>
        <v>0</v>
      </c>
      <c r="T507" s="78">
        <f t="shared" si="61"/>
        <v>0</v>
      </c>
      <c r="U507" s="78">
        <f t="shared" si="62"/>
        <v>0</v>
      </c>
      <c r="V507" s="79">
        <f t="shared" si="63"/>
        <v>0</v>
      </c>
    </row>
    <row r="508" spans="2:22" x14ac:dyDescent="0.35">
      <c r="B508" s="71">
        <f t="shared" si="58"/>
        <v>0</v>
      </c>
      <c r="C508" s="72"/>
      <c r="D508" s="140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41"/>
      <c r="R508" s="88">
        <f t="shared" si="59"/>
        <v>0</v>
      </c>
      <c r="S508" s="78">
        <f t="shared" si="60"/>
        <v>0</v>
      </c>
      <c r="T508" s="78">
        <f t="shared" si="61"/>
        <v>0</v>
      </c>
      <c r="U508" s="78">
        <f t="shared" si="62"/>
        <v>0</v>
      </c>
      <c r="V508" s="79">
        <f t="shared" si="63"/>
        <v>0</v>
      </c>
    </row>
    <row r="509" spans="2:22" x14ac:dyDescent="0.35">
      <c r="B509" s="71">
        <f t="shared" si="58"/>
        <v>0</v>
      </c>
      <c r="C509" s="72"/>
      <c r="D509" s="140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41"/>
      <c r="R509" s="88">
        <f t="shared" si="59"/>
        <v>0</v>
      </c>
      <c r="S509" s="78">
        <f t="shared" si="60"/>
        <v>0</v>
      </c>
      <c r="T509" s="78">
        <f t="shared" si="61"/>
        <v>0</v>
      </c>
      <c r="U509" s="78">
        <f t="shared" si="62"/>
        <v>0</v>
      </c>
      <c r="V509" s="79">
        <f t="shared" si="63"/>
        <v>0</v>
      </c>
    </row>
    <row r="510" spans="2:22" x14ac:dyDescent="0.35">
      <c r="B510" s="71">
        <f t="shared" si="58"/>
        <v>0</v>
      </c>
      <c r="C510" s="72"/>
      <c r="D510" s="140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41"/>
      <c r="R510" s="88">
        <f t="shared" si="59"/>
        <v>0</v>
      </c>
      <c r="S510" s="78">
        <f t="shared" si="60"/>
        <v>0</v>
      </c>
      <c r="T510" s="78">
        <f t="shared" si="61"/>
        <v>0</v>
      </c>
      <c r="U510" s="78">
        <f t="shared" si="62"/>
        <v>0</v>
      </c>
      <c r="V510" s="79">
        <f t="shared" si="63"/>
        <v>0</v>
      </c>
    </row>
    <row r="511" spans="2:22" x14ac:dyDescent="0.35">
      <c r="B511" s="71">
        <f t="shared" si="58"/>
        <v>0</v>
      </c>
      <c r="C511" s="72"/>
      <c r="D511" s="140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41"/>
      <c r="R511" s="88">
        <f t="shared" si="59"/>
        <v>0</v>
      </c>
      <c r="S511" s="78">
        <f t="shared" si="60"/>
        <v>0</v>
      </c>
      <c r="T511" s="78">
        <f t="shared" si="61"/>
        <v>0</v>
      </c>
      <c r="U511" s="78">
        <f t="shared" si="62"/>
        <v>0</v>
      </c>
      <c r="V511" s="79">
        <f t="shared" si="63"/>
        <v>0</v>
      </c>
    </row>
    <row r="512" spans="2:22" x14ac:dyDescent="0.35">
      <c r="B512" s="71">
        <f t="shared" si="58"/>
        <v>0</v>
      </c>
      <c r="C512" s="72"/>
      <c r="D512" s="140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41"/>
      <c r="R512" s="88">
        <f t="shared" si="59"/>
        <v>0</v>
      </c>
      <c r="S512" s="78">
        <f t="shared" si="60"/>
        <v>0</v>
      </c>
      <c r="T512" s="78">
        <f t="shared" si="61"/>
        <v>0</v>
      </c>
      <c r="U512" s="78">
        <f t="shared" si="62"/>
        <v>0</v>
      </c>
      <c r="V512" s="79">
        <f t="shared" si="63"/>
        <v>0</v>
      </c>
    </row>
    <row r="513" spans="2:22" x14ac:dyDescent="0.35">
      <c r="B513" s="71">
        <f t="shared" si="58"/>
        <v>0</v>
      </c>
      <c r="C513" s="72"/>
      <c r="D513" s="140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41"/>
      <c r="R513" s="88">
        <f t="shared" si="59"/>
        <v>0</v>
      </c>
      <c r="S513" s="78">
        <f t="shared" si="60"/>
        <v>0</v>
      </c>
      <c r="T513" s="78">
        <f t="shared" si="61"/>
        <v>0</v>
      </c>
      <c r="U513" s="78">
        <f t="shared" si="62"/>
        <v>0</v>
      </c>
      <c r="V513" s="79">
        <f t="shared" si="63"/>
        <v>0</v>
      </c>
    </row>
    <row r="514" spans="2:22" x14ac:dyDescent="0.35">
      <c r="B514" s="71">
        <f t="shared" si="58"/>
        <v>0</v>
      </c>
      <c r="C514" s="72"/>
      <c r="D514" s="140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41"/>
      <c r="R514" s="88">
        <f t="shared" si="59"/>
        <v>0</v>
      </c>
      <c r="S514" s="78">
        <f t="shared" si="60"/>
        <v>0</v>
      </c>
      <c r="T514" s="78">
        <f t="shared" si="61"/>
        <v>0</v>
      </c>
      <c r="U514" s="78">
        <f t="shared" si="62"/>
        <v>0</v>
      </c>
      <c r="V514" s="79">
        <f t="shared" si="63"/>
        <v>0</v>
      </c>
    </row>
    <row r="515" spans="2:22" x14ac:dyDescent="0.35">
      <c r="B515" s="71">
        <f t="shared" si="58"/>
        <v>0</v>
      </c>
      <c r="C515" s="72"/>
      <c r="D515" s="140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41"/>
      <c r="R515" s="88">
        <f t="shared" si="59"/>
        <v>0</v>
      </c>
      <c r="S515" s="78">
        <f t="shared" si="60"/>
        <v>0</v>
      </c>
      <c r="T515" s="78">
        <f t="shared" si="61"/>
        <v>0</v>
      </c>
      <c r="U515" s="78">
        <f t="shared" si="62"/>
        <v>0</v>
      </c>
      <c r="V515" s="79">
        <f t="shared" si="63"/>
        <v>0</v>
      </c>
    </row>
    <row r="516" spans="2:22" x14ac:dyDescent="0.35">
      <c r="B516" s="71">
        <f t="shared" si="58"/>
        <v>0</v>
      </c>
      <c r="C516" s="72"/>
      <c r="D516" s="140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41"/>
      <c r="R516" s="88">
        <f t="shared" si="59"/>
        <v>0</v>
      </c>
      <c r="S516" s="78">
        <f t="shared" si="60"/>
        <v>0</v>
      </c>
      <c r="T516" s="78">
        <f t="shared" si="61"/>
        <v>0</v>
      </c>
      <c r="U516" s="78">
        <f t="shared" si="62"/>
        <v>0</v>
      </c>
      <c r="V516" s="79">
        <f t="shared" si="63"/>
        <v>0</v>
      </c>
    </row>
    <row r="517" spans="2:22" x14ac:dyDescent="0.35">
      <c r="B517" s="71">
        <f t="shared" si="58"/>
        <v>0</v>
      </c>
      <c r="C517" s="72"/>
      <c r="D517" s="140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41"/>
      <c r="R517" s="88">
        <f t="shared" si="59"/>
        <v>0</v>
      </c>
      <c r="S517" s="78">
        <f t="shared" si="60"/>
        <v>0</v>
      </c>
      <c r="T517" s="78">
        <f t="shared" si="61"/>
        <v>0</v>
      </c>
      <c r="U517" s="78">
        <f t="shared" si="62"/>
        <v>0</v>
      </c>
      <c r="V517" s="79">
        <f t="shared" si="63"/>
        <v>0</v>
      </c>
    </row>
    <row r="518" spans="2:22" x14ac:dyDescent="0.35">
      <c r="B518" s="71">
        <f t="shared" si="58"/>
        <v>0</v>
      </c>
      <c r="C518" s="72"/>
      <c r="D518" s="140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41"/>
      <c r="R518" s="88">
        <f t="shared" si="59"/>
        <v>0</v>
      </c>
      <c r="S518" s="78">
        <f t="shared" si="60"/>
        <v>0</v>
      </c>
      <c r="T518" s="78">
        <f t="shared" si="61"/>
        <v>0</v>
      </c>
      <c r="U518" s="78">
        <f t="shared" si="62"/>
        <v>0</v>
      </c>
      <c r="V518" s="79">
        <f t="shared" si="63"/>
        <v>0</v>
      </c>
    </row>
    <row r="519" spans="2:22" x14ac:dyDescent="0.35">
      <c r="B519" s="71">
        <f t="shared" si="58"/>
        <v>0</v>
      </c>
      <c r="C519" s="72"/>
      <c r="D519" s="140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41"/>
      <c r="R519" s="88">
        <f t="shared" si="59"/>
        <v>0</v>
      </c>
      <c r="S519" s="78">
        <f t="shared" si="60"/>
        <v>0</v>
      </c>
      <c r="T519" s="78">
        <f t="shared" si="61"/>
        <v>0</v>
      </c>
      <c r="U519" s="78">
        <f t="shared" si="62"/>
        <v>0</v>
      </c>
      <c r="V519" s="79">
        <f t="shared" si="63"/>
        <v>0</v>
      </c>
    </row>
    <row r="520" spans="2:22" x14ac:dyDescent="0.35">
      <c r="B520" s="71">
        <f t="shared" si="58"/>
        <v>0</v>
      </c>
      <c r="C520" s="72"/>
      <c r="D520" s="140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41"/>
      <c r="R520" s="88">
        <f t="shared" si="59"/>
        <v>0</v>
      </c>
      <c r="S520" s="78">
        <f t="shared" si="60"/>
        <v>0</v>
      </c>
      <c r="T520" s="78">
        <f t="shared" si="61"/>
        <v>0</v>
      </c>
      <c r="U520" s="78">
        <f t="shared" si="62"/>
        <v>0</v>
      </c>
      <c r="V520" s="79">
        <f t="shared" si="63"/>
        <v>0</v>
      </c>
    </row>
    <row r="521" spans="2:22" x14ac:dyDescent="0.35">
      <c r="B521" s="71">
        <f t="shared" ref="B521:B584" si="64">SUM(E521:P521)</f>
        <v>0</v>
      </c>
      <c r="C521" s="72"/>
      <c r="D521" s="140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41"/>
      <c r="R521" s="88">
        <f t="shared" si="59"/>
        <v>0</v>
      </c>
      <c r="S521" s="78">
        <f t="shared" si="60"/>
        <v>0</v>
      </c>
      <c r="T521" s="78">
        <f t="shared" si="61"/>
        <v>0</v>
      </c>
      <c r="U521" s="78">
        <f t="shared" si="62"/>
        <v>0</v>
      </c>
      <c r="V521" s="79">
        <f t="shared" si="63"/>
        <v>0</v>
      </c>
    </row>
    <row r="522" spans="2:22" x14ac:dyDescent="0.35">
      <c r="B522" s="71">
        <f t="shared" si="64"/>
        <v>0</v>
      </c>
      <c r="C522" s="72"/>
      <c r="D522" s="140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41"/>
      <c r="R522" s="88">
        <f t="shared" si="59"/>
        <v>0</v>
      </c>
      <c r="S522" s="78">
        <f t="shared" si="60"/>
        <v>0</v>
      </c>
      <c r="T522" s="78">
        <f t="shared" si="61"/>
        <v>0</v>
      </c>
      <c r="U522" s="78">
        <f t="shared" si="62"/>
        <v>0</v>
      </c>
      <c r="V522" s="79">
        <f t="shared" si="63"/>
        <v>0</v>
      </c>
    </row>
    <row r="523" spans="2:22" x14ac:dyDescent="0.35">
      <c r="B523" s="71">
        <f t="shared" si="64"/>
        <v>0</v>
      </c>
      <c r="C523" s="72"/>
      <c r="D523" s="140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41"/>
      <c r="R523" s="88">
        <f t="shared" ref="R523:R586" si="65">SUM(E523:P523)</f>
        <v>0</v>
      </c>
      <c r="S523" s="78">
        <f t="shared" ref="S523:S586" si="66">SUM(H523:P523)/9*12</f>
        <v>0</v>
      </c>
      <c r="T523" s="78">
        <f t="shared" ref="T523:T586" si="67">SUM(K523:P523)*2</f>
        <v>0</v>
      </c>
      <c r="U523" s="78">
        <f t="shared" ref="U523:U586" si="68">SUM(N523:P523)*4</f>
        <v>0</v>
      </c>
      <c r="V523" s="79">
        <f t="shared" ref="V523:V586" si="69">SUM(P523)*12</f>
        <v>0</v>
      </c>
    </row>
    <row r="524" spans="2:22" x14ac:dyDescent="0.35">
      <c r="B524" s="71">
        <f t="shared" si="64"/>
        <v>0</v>
      </c>
      <c r="C524" s="72"/>
      <c r="D524" s="140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41"/>
      <c r="R524" s="88">
        <f t="shared" si="65"/>
        <v>0</v>
      </c>
      <c r="S524" s="78">
        <f t="shared" si="66"/>
        <v>0</v>
      </c>
      <c r="T524" s="78">
        <f t="shared" si="67"/>
        <v>0</v>
      </c>
      <c r="U524" s="78">
        <f t="shared" si="68"/>
        <v>0</v>
      </c>
      <c r="V524" s="79">
        <f t="shared" si="69"/>
        <v>0</v>
      </c>
    </row>
    <row r="525" spans="2:22" x14ac:dyDescent="0.35">
      <c r="B525" s="71">
        <f t="shared" si="64"/>
        <v>0</v>
      </c>
      <c r="C525" s="72"/>
      <c r="D525" s="140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41"/>
      <c r="R525" s="88">
        <f t="shared" si="65"/>
        <v>0</v>
      </c>
      <c r="S525" s="78">
        <f t="shared" si="66"/>
        <v>0</v>
      </c>
      <c r="T525" s="78">
        <f t="shared" si="67"/>
        <v>0</v>
      </c>
      <c r="U525" s="78">
        <f t="shared" si="68"/>
        <v>0</v>
      </c>
      <c r="V525" s="79">
        <f t="shared" si="69"/>
        <v>0</v>
      </c>
    </row>
    <row r="526" spans="2:22" x14ac:dyDescent="0.35">
      <c r="B526" s="71">
        <f t="shared" si="64"/>
        <v>0</v>
      </c>
      <c r="C526" s="72"/>
      <c r="D526" s="140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41"/>
      <c r="R526" s="88">
        <f t="shared" si="65"/>
        <v>0</v>
      </c>
      <c r="S526" s="78">
        <f t="shared" si="66"/>
        <v>0</v>
      </c>
      <c r="T526" s="78">
        <f t="shared" si="67"/>
        <v>0</v>
      </c>
      <c r="U526" s="78">
        <f t="shared" si="68"/>
        <v>0</v>
      </c>
      <c r="V526" s="79">
        <f t="shared" si="69"/>
        <v>0</v>
      </c>
    </row>
    <row r="527" spans="2:22" x14ac:dyDescent="0.35">
      <c r="B527" s="71">
        <f t="shared" si="64"/>
        <v>0</v>
      </c>
      <c r="C527" s="72"/>
      <c r="D527" s="140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41"/>
      <c r="R527" s="88">
        <f t="shared" si="65"/>
        <v>0</v>
      </c>
      <c r="S527" s="78">
        <f t="shared" si="66"/>
        <v>0</v>
      </c>
      <c r="T527" s="78">
        <f t="shared" si="67"/>
        <v>0</v>
      </c>
      <c r="U527" s="78">
        <f t="shared" si="68"/>
        <v>0</v>
      </c>
      <c r="V527" s="79">
        <f t="shared" si="69"/>
        <v>0</v>
      </c>
    </row>
    <row r="528" spans="2:22" x14ac:dyDescent="0.35">
      <c r="B528" s="71">
        <f t="shared" si="64"/>
        <v>0</v>
      </c>
      <c r="C528" s="72"/>
      <c r="D528" s="140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41"/>
      <c r="R528" s="88">
        <f t="shared" si="65"/>
        <v>0</v>
      </c>
      <c r="S528" s="78">
        <f t="shared" si="66"/>
        <v>0</v>
      </c>
      <c r="T528" s="78">
        <f t="shared" si="67"/>
        <v>0</v>
      </c>
      <c r="U528" s="78">
        <f t="shared" si="68"/>
        <v>0</v>
      </c>
      <c r="V528" s="79">
        <f t="shared" si="69"/>
        <v>0</v>
      </c>
    </row>
    <row r="529" spans="2:22" x14ac:dyDescent="0.35">
      <c r="B529" s="71">
        <f t="shared" si="64"/>
        <v>0</v>
      </c>
      <c r="C529" s="72"/>
      <c r="D529" s="140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41"/>
      <c r="R529" s="88">
        <f t="shared" si="65"/>
        <v>0</v>
      </c>
      <c r="S529" s="78">
        <f t="shared" si="66"/>
        <v>0</v>
      </c>
      <c r="T529" s="78">
        <f t="shared" si="67"/>
        <v>0</v>
      </c>
      <c r="U529" s="78">
        <f t="shared" si="68"/>
        <v>0</v>
      </c>
      <c r="V529" s="79">
        <f t="shared" si="69"/>
        <v>0</v>
      </c>
    </row>
    <row r="530" spans="2:22" x14ac:dyDescent="0.35">
      <c r="B530" s="71">
        <f t="shared" si="64"/>
        <v>0</v>
      </c>
      <c r="C530" s="72"/>
      <c r="D530" s="140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41"/>
      <c r="R530" s="88">
        <f t="shared" si="65"/>
        <v>0</v>
      </c>
      <c r="S530" s="78">
        <f t="shared" si="66"/>
        <v>0</v>
      </c>
      <c r="T530" s="78">
        <f t="shared" si="67"/>
        <v>0</v>
      </c>
      <c r="U530" s="78">
        <f t="shared" si="68"/>
        <v>0</v>
      </c>
      <c r="V530" s="79">
        <f t="shared" si="69"/>
        <v>0</v>
      </c>
    </row>
    <row r="531" spans="2:22" x14ac:dyDescent="0.35">
      <c r="B531" s="71">
        <f t="shared" si="64"/>
        <v>0</v>
      </c>
      <c r="C531" s="72"/>
      <c r="D531" s="140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41"/>
      <c r="R531" s="88">
        <f t="shared" si="65"/>
        <v>0</v>
      </c>
      <c r="S531" s="78">
        <f t="shared" si="66"/>
        <v>0</v>
      </c>
      <c r="T531" s="78">
        <f t="shared" si="67"/>
        <v>0</v>
      </c>
      <c r="U531" s="78">
        <f t="shared" si="68"/>
        <v>0</v>
      </c>
      <c r="V531" s="79">
        <f t="shared" si="69"/>
        <v>0</v>
      </c>
    </row>
    <row r="532" spans="2:22" x14ac:dyDescent="0.35">
      <c r="B532" s="71">
        <f t="shared" si="64"/>
        <v>0</v>
      </c>
      <c r="C532" s="72"/>
      <c r="D532" s="140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41"/>
      <c r="R532" s="88">
        <f t="shared" si="65"/>
        <v>0</v>
      </c>
      <c r="S532" s="78">
        <f t="shared" si="66"/>
        <v>0</v>
      </c>
      <c r="T532" s="78">
        <f t="shared" si="67"/>
        <v>0</v>
      </c>
      <c r="U532" s="78">
        <f t="shared" si="68"/>
        <v>0</v>
      </c>
      <c r="V532" s="79">
        <f t="shared" si="69"/>
        <v>0</v>
      </c>
    </row>
    <row r="533" spans="2:22" x14ac:dyDescent="0.35">
      <c r="B533" s="71">
        <f t="shared" si="64"/>
        <v>0</v>
      </c>
      <c r="C533" s="72"/>
      <c r="D533" s="140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41"/>
      <c r="R533" s="88">
        <f t="shared" si="65"/>
        <v>0</v>
      </c>
      <c r="S533" s="78">
        <f t="shared" si="66"/>
        <v>0</v>
      </c>
      <c r="T533" s="78">
        <f t="shared" si="67"/>
        <v>0</v>
      </c>
      <c r="U533" s="78">
        <f t="shared" si="68"/>
        <v>0</v>
      </c>
      <c r="V533" s="79">
        <f t="shared" si="69"/>
        <v>0</v>
      </c>
    </row>
    <row r="534" spans="2:22" x14ac:dyDescent="0.35">
      <c r="B534" s="71">
        <f t="shared" si="64"/>
        <v>0</v>
      </c>
      <c r="C534" s="72"/>
      <c r="D534" s="140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41"/>
      <c r="R534" s="88">
        <f t="shared" si="65"/>
        <v>0</v>
      </c>
      <c r="S534" s="78">
        <f t="shared" si="66"/>
        <v>0</v>
      </c>
      <c r="T534" s="78">
        <f t="shared" si="67"/>
        <v>0</v>
      </c>
      <c r="U534" s="78">
        <f t="shared" si="68"/>
        <v>0</v>
      </c>
      <c r="V534" s="79">
        <f t="shared" si="69"/>
        <v>0</v>
      </c>
    </row>
    <row r="535" spans="2:22" x14ac:dyDescent="0.35">
      <c r="B535" s="71">
        <f t="shared" si="64"/>
        <v>0</v>
      </c>
      <c r="C535" s="72"/>
      <c r="D535" s="140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41"/>
      <c r="R535" s="88">
        <f t="shared" si="65"/>
        <v>0</v>
      </c>
      <c r="S535" s="78">
        <f t="shared" si="66"/>
        <v>0</v>
      </c>
      <c r="T535" s="78">
        <f t="shared" si="67"/>
        <v>0</v>
      </c>
      <c r="U535" s="78">
        <f t="shared" si="68"/>
        <v>0</v>
      </c>
      <c r="V535" s="79">
        <f t="shared" si="69"/>
        <v>0</v>
      </c>
    </row>
    <row r="536" spans="2:22" x14ac:dyDescent="0.35">
      <c r="B536" s="71">
        <f t="shared" si="64"/>
        <v>0</v>
      </c>
      <c r="C536" s="72"/>
      <c r="D536" s="140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41"/>
      <c r="R536" s="88">
        <f t="shared" si="65"/>
        <v>0</v>
      </c>
      <c r="S536" s="78">
        <f t="shared" si="66"/>
        <v>0</v>
      </c>
      <c r="T536" s="78">
        <f t="shared" si="67"/>
        <v>0</v>
      </c>
      <c r="U536" s="78">
        <f t="shared" si="68"/>
        <v>0</v>
      </c>
      <c r="V536" s="79">
        <f t="shared" si="69"/>
        <v>0</v>
      </c>
    </row>
    <row r="537" spans="2:22" x14ac:dyDescent="0.35">
      <c r="B537" s="71">
        <f t="shared" si="64"/>
        <v>0</v>
      </c>
      <c r="C537" s="72"/>
      <c r="D537" s="140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41"/>
      <c r="R537" s="88">
        <f t="shared" si="65"/>
        <v>0</v>
      </c>
      <c r="S537" s="78">
        <f t="shared" si="66"/>
        <v>0</v>
      </c>
      <c r="T537" s="78">
        <f t="shared" si="67"/>
        <v>0</v>
      </c>
      <c r="U537" s="78">
        <f t="shared" si="68"/>
        <v>0</v>
      </c>
      <c r="V537" s="79">
        <f t="shared" si="69"/>
        <v>0</v>
      </c>
    </row>
    <row r="538" spans="2:22" x14ac:dyDescent="0.35">
      <c r="B538" s="71">
        <f t="shared" si="64"/>
        <v>0</v>
      </c>
      <c r="C538" s="72"/>
      <c r="D538" s="140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41"/>
      <c r="R538" s="88">
        <f t="shared" si="65"/>
        <v>0</v>
      </c>
      <c r="S538" s="78">
        <f t="shared" si="66"/>
        <v>0</v>
      </c>
      <c r="T538" s="78">
        <f t="shared" si="67"/>
        <v>0</v>
      </c>
      <c r="U538" s="78">
        <f t="shared" si="68"/>
        <v>0</v>
      </c>
      <c r="V538" s="79">
        <f t="shared" si="69"/>
        <v>0</v>
      </c>
    </row>
    <row r="539" spans="2:22" x14ac:dyDescent="0.35">
      <c r="B539" s="71">
        <f t="shared" si="64"/>
        <v>0</v>
      </c>
      <c r="C539" s="72"/>
      <c r="D539" s="140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41"/>
      <c r="R539" s="88">
        <f t="shared" si="65"/>
        <v>0</v>
      </c>
      <c r="S539" s="78">
        <f t="shared" si="66"/>
        <v>0</v>
      </c>
      <c r="T539" s="78">
        <f t="shared" si="67"/>
        <v>0</v>
      </c>
      <c r="U539" s="78">
        <f t="shared" si="68"/>
        <v>0</v>
      </c>
      <c r="V539" s="79">
        <f t="shared" si="69"/>
        <v>0</v>
      </c>
    </row>
    <row r="540" spans="2:22" x14ac:dyDescent="0.35">
      <c r="B540" s="71">
        <f t="shared" si="64"/>
        <v>0</v>
      </c>
      <c r="C540" s="72"/>
      <c r="D540" s="140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41"/>
      <c r="R540" s="88">
        <f t="shared" si="65"/>
        <v>0</v>
      </c>
      <c r="S540" s="78">
        <f t="shared" si="66"/>
        <v>0</v>
      </c>
      <c r="T540" s="78">
        <f t="shared" si="67"/>
        <v>0</v>
      </c>
      <c r="U540" s="78">
        <f t="shared" si="68"/>
        <v>0</v>
      </c>
      <c r="V540" s="79">
        <f t="shared" si="69"/>
        <v>0</v>
      </c>
    </row>
    <row r="541" spans="2:22" x14ac:dyDescent="0.35">
      <c r="B541" s="71">
        <f t="shared" si="64"/>
        <v>0</v>
      </c>
      <c r="C541" s="72"/>
      <c r="D541" s="140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41"/>
      <c r="R541" s="88">
        <f t="shared" si="65"/>
        <v>0</v>
      </c>
      <c r="S541" s="78">
        <f t="shared" si="66"/>
        <v>0</v>
      </c>
      <c r="T541" s="78">
        <f t="shared" si="67"/>
        <v>0</v>
      </c>
      <c r="U541" s="78">
        <f t="shared" si="68"/>
        <v>0</v>
      </c>
      <c r="V541" s="79">
        <f t="shared" si="69"/>
        <v>0</v>
      </c>
    </row>
    <row r="542" spans="2:22" x14ac:dyDescent="0.35">
      <c r="B542" s="71">
        <f t="shared" si="64"/>
        <v>0</v>
      </c>
      <c r="C542" s="72"/>
      <c r="D542" s="140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41"/>
      <c r="R542" s="88">
        <f t="shared" si="65"/>
        <v>0</v>
      </c>
      <c r="S542" s="78">
        <f t="shared" si="66"/>
        <v>0</v>
      </c>
      <c r="T542" s="78">
        <f t="shared" si="67"/>
        <v>0</v>
      </c>
      <c r="U542" s="78">
        <f t="shared" si="68"/>
        <v>0</v>
      </c>
      <c r="V542" s="79">
        <f t="shared" si="69"/>
        <v>0</v>
      </c>
    </row>
    <row r="543" spans="2:22" x14ac:dyDescent="0.35">
      <c r="B543" s="71">
        <f t="shared" si="64"/>
        <v>0</v>
      </c>
      <c r="C543" s="72"/>
      <c r="D543" s="140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41"/>
      <c r="R543" s="88">
        <f t="shared" si="65"/>
        <v>0</v>
      </c>
      <c r="S543" s="78">
        <f t="shared" si="66"/>
        <v>0</v>
      </c>
      <c r="T543" s="78">
        <f t="shared" si="67"/>
        <v>0</v>
      </c>
      <c r="U543" s="78">
        <f t="shared" si="68"/>
        <v>0</v>
      </c>
      <c r="V543" s="79">
        <f t="shared" si="69"/>
        <v>0</v>
      </c>
    </row>
    <row r="544" spans="2:22" x14ac:dyDescent="0.35">
      <c r="B544" s="71">
        <f t="shared" si="64"/>
        <v>0</v>
      </c>
      <c r="C544" s="72"/>
      <c r="D544" s="140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41"/>
      <c r="R544" s="88">
        <f t="shared" si="65"/>
        <v>0</v>
      </c>
      <c r="S544" s="78">
        <f t="shared" si="66"/>
        <v>0</v>
      </c>
      <c r="T544" s="78">
        <f t="shared" si="67"/>
        <v>0</v>
      </c>
      <c r="U544" s="78">
        <f t="shared" si="68"/>
        <v>0</v>
      </c>
      <c r="V544" s="79">
        <f t="shared" si="69"/>
        <v>0</v>
      </c>
    </row>
    <row r="545" spans="2:22" x14ac:dyDescent="0.35">
      <c r="B545" s="71">
        <f t="shared" si="64"/>
        <v>0</v>
      </c>
      <c r="C545" s="72"/>
      <c r="D545" s="140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41"/>
      <c r="R545" s="88">
        <f t="shared" si="65"/>
        <v>0</v>
      </c>
      <c r="S545" s="78">
        <f t="shared" si="66"/>
        <v>0</v>
      </c>
      <c r="T545" s="78">
        <f t="shared" si="67"/>
        <v>0</v>
      </c>
      <c r="U545" s="78">
        <f t="shared" si="68"/>
        <v>0</v>
      </c>
      <c r="V545" s="79">
        <f t="shared" si="69"/>
        <v>0</v>
      </c>
    </row>
    <row r="546" spans="2:22" x14ac:dyDescent="0.35">
      <c r="B546" s="71">
        <f t="shared" si="64"/>
        <v>0</v>
      </c>
      <c r="C546" s="72"/>
      <c r="D546" s="140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41"/>
      <c r="R546" s="88">
        <f t="shared" si="65"/>
        <v>0</v>
      </c>
      <c r="S546" s="78">
        <f t="shared" si="66"/>
        <v>0</v>
      </c>
      <c r="T546" s="78">
        <f t="shared" si="67"/>
        <v>0</v>
      </c>
      <c r="U546" s="78">
        <f t="shared" si="68"/>
        <v>0</v>
      </c>
      <c r="V546" s="79">
        <f t="shared" si="69"/>
        <v>0</v>
      </c>
    </row>
    <row r="547" spans="2:22" x14ac:dyDescent="0.35">
      <c r="B547" s="71">
        <f t="shared" si="64"/>
        <v>0</v>
      </c>
      <c r="C547" s="72"/>
      <c r="D547" s="140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41"/>
      <c r="R547" s="88">
        <f t="shared" si="65"/>
        <v>0</v>
      </c>
      <c r="S547" s="78">
        <f t="shared" si="66"/>
        <v>0</v>
      </c>
      <c r="T547" s="78">
        <f t="shared" si="67"/>
        <v>0</v>
      </c>
      <c r="U547" s="78">
        <f t="shared" si="68"/>
        <v>0</v>
      </c>
      <c r="V547" s="79">
        <f t="shared" si="69"/>
        <v>0</v>
      </c>
    </row>
    <row r="548" spans="2:22" x14ac:dyDescent="0.35">
      <c r="B548" s="71">
        <f t="shared" si="64"/>
        <v>0</v>
      </c>
      <c r="C548" s="72"/>
      <c r="D548" s="140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41"/>
      <c r="R548" s="88">
        <f t="shared" si="65"/>
        <v>0</v>
      </c>
      <c r="S548" s="78">
        <f t="shared" si="66"/>
        <v>0</v>
      </c>
      <c r="T548" s="78">
        <f t="shared" si="67"/>
        <v>0</v>
      </c>
      <c r="U548" s="78">
        <f t="shared" si="68"/>
        <v>0</v>
      </c>
      <c r="V548" s="79">
        <f t="shared" si="69"/>
        <v>0</v>
      </c>
    </row>
    <row r="549" spans="2:22" x14ac:dyDescent="0.35">
      <c r="B549" s="71">
        <f t="shared" si="64"/>
        <v>0</v>
      </c>
      <c r="C549" s="72"/>
      <c r="D549" s="140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41"/>
      <c r="R549" s="88">
        <f t="shared" si="65"/>
        <v>0</v>
      </c>
      <c r="S549" s="78">
        <f t="shared" si="66"/>
        <v>0</v>
      </c>
      <c r="T549" s="78">
        <f t="shared" si="67"/>
        <v>0</v>
      </c>
      <c r="U549" s="78">
        <f t="shared" si="68"/>
        <v>0</v>
      </c>
      <c r="V549" s="79">
        <f t="shared" si="69"/>
        <v>0</v>
      </c>
    </row>
    <row r="550" spans="2:22" x14ac:dyDescent="0.35">
      <c r="B550" s="71">
        <f t="shared" si="64"/>
        <v>0</v>
      </c>
      <c r="C550" s="72"/>
      <c r="D550" s="140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41"/>
      <c r="R550" s="88">
        <f t="shared" si="65"/>
        <v>0</v>
      </c>
      <c r="S550" s="78">
        <f t="shared" si="66"/>
        <v>0</v>
      </c>
      <c r="T550" s="78">
        <f t="shared" si="67"/>
        <v>0</v>
      </c>
      <c r="U550" s="78">
        <f t="shared" si="68"/>
        <v>0</v>
      </c>
      <c r="V550" s="79">
        <f t="shared" si="69"/>
        <v>0</v>
      </c>
    </row>
    <row r="551" spans="2:22" x14ac:dyDescent="0.35">
      <c r="B551" s="71">
        <f t="shared" si="64"/>
        <v>0</v>
      </c>
      <c r="C551" s="72"/>
      <c r="D551" s="140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41"/>
      <c r="R551" s="88">
        <f t="shared" si="65"/>
        <v>0</v>
      </c>
      <c r="S551" s="78">
        <f t="shared" si="66"/>
        <v>0</v>
      </c>
      <c r="T551" s="78">
        <f t="shared" si="67"/>
        <v>0</v>
      </c>
      <c r="U551" s="78">
        <f t="shared" si="68"/>
        <v>0</v>
      </c>
      <c r="V551" s="79">
        <f t="shared" si="69"/>
        <v>0</v>
      </c>
    </row>
    <row r="552" spans="2:22" x14ac:dyDescent="0.35">
      <c r="B552" s="71">
        <f t="shared" si="64"/>
        <v>0</v>
      </c>
      <c r="C552" s="72"/>
      <c r="D552" s="140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41"/>
      <c r="R552" s="88">
        <f t="shared" si="65"/>
        <v>0</v>
      </c>
      <c r="S552" s="78">
        <f t="shared" si="66"/>
        <v>0</v>
      </c>
      <c r="T552" s="78">
        <f t="shared" si="67"/>
        <v>0</v>
      </c>
      <c r="U552" s="78">
        <f t="shared" si="68"/>
        <v>0</v>
      </c>
      <c r="V552" s="79">
        <f t="shared" si="69"/>
        <v>0</v>
      </c>
    </row>
    <row r="553" spans="2:22" x14ac:dyDescent="0.35">
      <c r="B553" s="71">
        <f t="shared" si="64"/>
        <v>0</v>
      </c>
      <c r="C553" s="72"/>
      <c r="D553" s="140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41"/>
      <c r="R553" s="88">
        <f t="shared" si="65"/>
        <v>0</v>
      </c>
      <c r="S553" s="78">
        <f t="shared" si="66"/>
        <v>0</v>
      </c>
      <c r="T553" s="78">
        <f t="shared" si="67"/>
        <v>0</v>
      </c>
      <c r="U553" s="78">
        <f t="shared" si="68"/>
        <v>0</v>
      </c>
      <c r="V553" s="79">
        <f t="shared" si="69"/>
        <v>0</v>
      </c>
    </row>
    <row r="554" spans="2:22" x14ac:dyDescent="0.35">
      <c r="B554" s="71">
        <f t="shared" si="64"/>
        <v>0</v>
      </c>
      <c r="C554" s="72"/>
      <c r="D554" s="140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41"/>
      <c r="R554" s="88">
        <f t="shared" si="65"/>
        <v>0</v>
      </c>
      <c r="S554" s="78">
        <f t="shared" si="66"/>
        <v>0</v>
      </c>
      <c r="T554" s="78">
        <f t="shared" si="67"/>
        <v>0</v>
      </c>
      <c r="U554" s="78">
        <f t="shared" si="68"/>
        <v>0</v>
      </c>
      <c r="V554" s="79">
        <f t="shared" si="69"/>
        <v>0</v>
      </c>
    </row>
    <row r="555" spans="2:22" x14ac:dyDescent="0.35">
      <c r="B555" s="71">
        <f t="shared" si="64"/>
        <v>0</v>
      </c>
      <c r="C555" s="72"/>
      <c r="D555" s="140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41"/>
      <c r="R555" s="88">
        <f t="shared" si="65"/>
        <v>0</v>
      </c>
      <c r="S555" s="78">
        <f t="shared" si="66"/>
        <v>0</v>
      </c>
      <c r="T555" s="78">
        <f t="shared" si="67"/>
        <v>0</v>
      </c>
      <c r="U555" s="78">
        <f t="shared" si="68"/>
        <v>0</v>
      </c>
      <c r="V555" s="79">
        <f t="shared" si="69"/>
        <v>0</v>
      </c>
    </row>
    <row r="556" spans="2:22" x14ac:dyDescent="0.35">
      <c r="B556" s="71">
        <f t="shared" si="64"/>
        <v>0</v>
      </c>
      <c r="C556" s="72"/>
      <c r="D556" s="140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41"/>
      <c r="R556" s="88">
        <f t="shared" si="65"/>
        <v>0</v>
      </c>
      <c r="S556" s="78">
        <f t="shared" si="66"/>
        <v>0</v>
      </c>
      <c r="T556" s="78">
        <f t="shared" si="67"/>
        <v>0</v>
      </c>
      <c r="U556" s="78">
        <f t="shared" si="68"/>
        <v>0</v>
      </c>
      <c r="V556" s="79">
        <f t="shared" si="69"/>
        <v>0</v>
      </c>
    </row>
    <row r="557" spans="2:22" x14ac:dyDescent="0.35">
      <c r="B557" s="71">
        <f t="shared" si="64"/>
        <v>0</v>
      </c>
      <c r="C557" s="72"/>
      <c r="D557" s="140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41"/>
      <c r="R557" s="88">
        <f t="shared" si="65"/>
        <v>0</v>
      </c>
      <c r="S557" s="78">
        <f t="shared" si="66"/>
        <v>0</v>
      </c>
      <c r="T557" s="78">
        <f t="shared" si="67"/>
        <v>0</v>
      </c>
      <c r="U557" s="78">
        <f t="shared" si="68"/>
        <v>0</v>
      </c>
      <c r="V557" s="79">
        <f t="shared" si="69"/>
        <v>0</v>
      </c>
    </row>
    <row r="558" spans="2:22" x14ac:dyDescent="0.35">
      <c r="B558" s="71">
        <f t="shared" si="64"/>
        <v>0</v>
      </c>
      <c r="C558" s="72"/>
      <c r="D558" s="140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41"/>
      <c r="R558" s="88">
        <f t="shared" si="65"/>
        <v>0</v>
      </c>
      <c r="S558" s="78">
        <f t="shared" si="66"/>
        <v>0</v>
      </c>
      <c r="T558" s="78">
        <f t="shared" si="67"/>
        <v>0</v>
      </c>
      <c r="U558" s="78">
        <f t="shared" si="68"/>
        <v>0</v>
      </c>
      <c r="V558" s="79">
        <f t="shared" si="69"/>
        <v>0</v>
      </c>
    </row>
    <row r="559" spans="2:22" x14ac:dyDescent="0.35">
      <c r="B559" s="71">
        <f t="shared" si="64"/>
        <v>0</v>
      </c>
      <c r="C559" s="72"/>
      <c r="D559" s="140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41"/>
      <c r="R559" s="88">
        <f t="shared" si="65"/>
        <v>0</v>
      </c>
      <c r="S559" s="78">
        <f t="shared" si="66"/>
        <v>0</v>
      </c>
      <c r="T559" s="78">
        <f t="shared" si="67"/>
        <v>0</v>
      </c>
      <c r="U559" s="78">
        <f t="shared" si="68"/>
        <v>0</v>
      </c>
      <c r="V559" s="79">
        <f t="shared" si="69"/>
        <v>0</v>
      </c>
    </row>
    <row r="560" spans="2:22" x14ac:dyDescent="0.35">
      <c r="B560" s="71">
        <f t="shared" si="64"/>
        <v>0</v>
      </c>
      <c r="C560" s="72"/>
      <c r="D560" s="140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41"/>
      <c r="R560" s="88">
        <f t="shared" si="65"/>
        <v>0</v>
      </c>
      <c r="S560" s="78">
        <f t="shared" si="66"/>
        <v>0</v>
      </c>
      <c r="T560" s="78">
        <f t="shared" si="67"/>
        <v>0</v>
      </c>
      <c r="U560" s="78">
        <f t="shared" si="68"/>
        <v>0</v>
      </c>
      <c r="V560" s="79">
        <f t="shared" si="69"/>
        <v>0</v>
      </c>
    </row>
    <row r="561" spans="2:22" x14ac:dyDescent="0.35">
      <c r="B561" s="71">
        <f t="shared" si="64"/>
        <v>0</v>
      </c>
      <c r="C561" s="72"/>
      <c r="D561" s="140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41"/>
      <c r="R561" s="88">
        <f t="shared" si="65"/>
        <v>0</v>
      </c>
      <c r="S561" s="78">
        <f t="shared" si="66"/>
        <v>0</v>
      </c>
      <c r="T561" s="78">
        <f t="shared" si="67"/>
        <v>0</v>
      </c>
      <c r="U561" s="78">
        <f t="shared" si="68"/>
        <v>0</v>
      </c>
      <c r="V561" s="79">
        <f t="shared" si="69"/>
        <v>0</v>
      </c>
    </row>
    <row r="562" spans="2:22" x14ac:dyDescent="0.35">
      <c r="B562" s="71">
        <f t="shared" si="64"/>
        <v>0</v>
      </c>
      <c r="C562" s="72"/>
      <c r="D562" s="140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41"/>
      <c r="R562" s="88">
        <f t="shared" si="65"/>
        <v>0</v>
      </c>
      <c r="S562" s="78">
        <f t="shared" si="66"/>
        <v>0</v>
      </c>
      <c r="T562" s="78">
        <f t="shared" si="67"/>
        <v>0</v>
      </c>
      <c r="U562" s="78">
        <f t="shared" si="68"/>
        <v>0</v>
      </c>
      <c r="V562" s="79">
        <f t="shared" si="69"/>
        <v>0</v>
      </c>
    </row>
    <row r="563" spans="2:22" x14ac:dyDescent="0.35">
      <c r="B563" s="71">
        <f t="shared" si="64"/>
        <v>0</v>
      </c>
      <c r="C563" s="72"/>
      <c r="D563" s="140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41"/>
      <c r="R563" s="88">
        <f t="shared" si="65"/>
        <v>0</v>
      </c>
      <c r="S563" s="78">
        <f t="shared" si="66"/>
        <v>0</v>
      </c>
      <c r="T563" s="78">
        <f t="shared" si="67"/>
        <v>0</v>
      </c>
      <c r="U563" s="78">
        <f t="shared" si="68"/>
        <v>0</v>
      </c>
      <c r="V563" s="79">
        <f t="shared" si="69"/>
        <v>0</v>
      </c>
    </row>
    <row r="564" spans="2:22" x14ac:dyDescent="0.35">
      <c r="B564" s="71">
        <f t="shared" si="64"/>
        <v>0</v>
      </c>
      <c r="C564" s="72"/>
      <c r="D564" s="140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41"/>
      <c r="R564" s="88">
        <f t="shared" si="65"/>
        <v>0</v>
      </c>
      <c r="S564" s="78">
        <f t="shared" si="66"/>
        <v>0</v>
      </c>
      <c r="T564" s="78">
        <f t="shared" si="67"/>
        <v>0</v>
      </c>
      <c r="U564" s="78">
        <f t="shared" si="68"/>
        <v>0</v>
      </c>
      <c r="V564" s="79">
        <f t="shared" si="69"/>
        <v>0</v>
      </c>
    </row>
    <row r="565" spans="2:22" x14ac:dyDescent="0.35">
      <c r="B565" s="71">
        <f t="shared" si="64"/>
        <v>0</v>
      </c>
      <c r="C565" s="72"/>
      <c r="D565" s="140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41"/>
      <c r="R565" s="88">
        <f t="shared" si="65"/>
        <v>0</v>
      </c>
      <c r="S565" s="78">
        <f t="shared" si="66"/>
        <v>0</v>
      </c>
      <c r="T565" s="78">
        <f t="shared" si="67"/>
        <v>0</v>
      </c>
      <c r="U565" s="78">
        <f t="shared" si="68"/>
        <v>0</v>
      </c>
      <c r="V565" s="79">
        <f t="shared" si="69"/>
        <v>0</v>
      </c>
    </row>
    <row r="566" spans="2:22" x14ac:dyDescent="0.35">
      <c r="B566" s="71">
        <f t="shared" si="64"/>
        <v>0</v>
      </c>
      <c r="C566" s="72"/>
      <c r="D566" s="140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41"/>
      <c r="R566" s="88">
        <f t="shared" si="65"/>
        <v>0</v>
      </c>
      <c r="S566" s="78">
        <f t="shared" si="66"/>
        <v>0</v>
      </c>
      <c r="T566" s="78">
        <f t="shared" si="67"/>
        <v>0</v>
      </c>
      <c r="U566" s="78">
        <f t="shared" si="68"/>
        <v>0</v>
      </c>
      <c r="V566" s="79">
        <f t="shared" si="69"/>
        <v>0</v>
      </c>
    </row>
    <row r="567" spans="2:22" x14ac:dyDescent="0.35">
      <c r="B567" s="71">
        <f t="shared" si="64"/>
        <v>0</v>
      </c>
      <c r="C567" s="72"/>
      <c r="D567" s="140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41"/>
      <c r="R567" s="88">
        <f t="shared" si="65"/>
        <v>0</v>
      </c>
      <c r="S567" s="78">
        <f t="shared" si="66"/>
        <v>0</v>
      </c>
      <c r="T567" s="78">
        <f t="shared" si="67"/>
        <v>0</v>
      </c>
      <c r="U567" s="78">
        <f t="shared" si="68"/>
        <v>0</v>
      </c>
      <c r="V567" s="79">
        <f t="shared" si="69"/>
        <v>0</v>
      </c>
    </row>
    <row r="568" spans="2:22" x14ac:dyDescent="0.35">
      <c r="B568" s="71">
        <f t="shared" si="64"/>
        <v>0</v>
      </c>
      <c r="C568" s="72"/>
      <c r="D568" s="140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41"/>
      <c r="R568" s="88">
        <f t="shared" si="65"/>
        <v>0</v>
      </c>
      <c r="S568" s="78">
        <f t="shared" si="66"/>
        <v>0</v>
      </c>
      <c r="T568" s="78">
        <f t="shared" si="67"/>
        <v>0</v>
      </c>
      <c r="U568" s="78">
        <f t="shared" si="68"/>
        <v>0</v>
      </c>
      <c r="V568" s="79">
        <f t="shared" si="69"/>
        <v>0</v>
      </c>
    </row>
    <row r="569" spans="2:22" x14ac:dyDescent="0.35">
      <c r="B569" s="71">
        <f t="shared" si="64"/>
        <v>0</v>
      </c>
      <c r="C569" s="72"/>
      <c r="D569" s="140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41"/>
      <c r="R569" s="88">
        <f t="shared" si="65"/>
        <v>0</v>
      </c>
      <c r="S569" s="78">
        <f t="shared" si="66"/>
        <v>0</v>
      </c>
      <c r="T569" s="78">
        <f t="shared" si="67"/>
        <v>0</v>
      </c>
      <c r="U569" s="78">
        <f t="shared" si="68"/>
        <v>0</v>
      </c>
      <c r="V569" s="79">
        <f t="shared" si="69"/>
        <v>0</v>
      </c>
    </row>
    <row r="570" spans="2:22" x14ac:dyDescent="0.35">
      <c r="B570" s="71">
        <f t="shared" si="64"/>
        <v>0</v>
      </c>
      <c r="C570" s="72"/>
      <c r="D570" s="140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41"/>
      <c r="R570" s="88">
        <f t="shared" si="65"/>
        <v>0</v>
      </c>
      <c r="S570" s="78">
        <f t="shared" si="66"/>
        <v>0</v>
      </c>
      <c r="T570" s="78">
        <f t="shared" si="67"/>
        <v>0</v>
      </c>
      <c r="U570" s="78">
        <f t="shared" si="68"/>
        <v>0</v>
      </c>
      <c r="V570" s="79">
        <f t="shared" si="69"/>
        <v>0</v>
      </c>
    </row>
    <row r="571" spans="2:22" x14ac:dyDescent="0.35">
      <c r="B571" s="71">
        <f t="shared" si="64"/>
        <v>0</v>
      </c>
      <c r="C571" s="72"/>
      <c r="D571" s="140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41"/>
      <c r="R571" s="88">
        <f t="shared" si="65"/>
        <v>0</v>
      </c>
      <c r="S571" s="78">
        <f t="shared" si="66"/>
        <v>0</v>
      </c>
      <c r="T571" s="78">
        <f t="shared" si="67"/>
        <v>0</v>
      </c>
      <c r="U571" s="78">
        <f t="shared" si="68"/>
        <v>0</v>
      </c>
      <c r="V571" s="79">
        <f t="shared" si="69"/>
        <v>0</v>
      </c>
    </row>
    <row r="572" spans="2:22" x14ac:dyDescent="0.35">
      <c r="B572" s="71">
        <f t="shared" si="64"/>
        <v>0</v>
      </c>
      <c r="C572" s="72"/>
      <c r="D572" s="140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41"/>
      <c r="R572" s="88">
        <f t="shared" si="65"/>
        <v>0</v>
      </c>
      <c r="S572" s="78">
        <f t="shared" si="66"/>
        <v>0</v>
      </c>
      <c r="T572" s="78">
        <f t="shared" si="67"/>
        <v>0</v>
      </c>
      <c r="U572" s="78">
        <f t="shared" si="68"/>
        <v>0</v>
      </c>
      <c r="V572" s="79">
        <f t="shared" si="69"/>
        <v>0</v>
      </c>
    </row>
    <row r="573" spans="2:22" x14ac:dyDescent="0.35">
      <c r="B573" s="71">
        <f t="shared" si="64"/>
        <v>0</v>
      </c>
      <c r="C573" s="72"/>
      <c r="D573" s="140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41"/>
      <c r="R573" s="88">
        <f t="shared" si="65"/>
        <v>0</v>
      </c>
      <c r="S573" s="78">
        <f t="shared" si="66"/>
        <v>0</v>
      </c>
      <c r="T573" s="78">
        <f t="shared" si="67"/>
        <v>0</v>
      </c>
      <c r="U573" s="78">
        <f t="shared" si="68"/>
        <v>0</v>
      </c>
      <c r="V573" s="79">
        <f t="shared" si="69"/>
        <v>0</v>
      </c>
    </row>
    <row r="574" spans="2:22" x14ac:dyDescent="0.35">
      <c r="B574" s="71">
        <f t="shared" si="64"/>
        <v>0</v>
      </c>
      <c r="C574" s="72"/>
      <c r="D574" s="140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41"/>
      <c r="R574" s="88">
        <f t="shared" si="65"/>
        <v>0</v>
      </c>
      <c r="S574" s="78">
        <f t="shared" si="66"/>
        <v>0</v>
      </c>
      <c r="T574" s="78">
        <f t="shared" si="67"/>
        <v>0</v>
      </c>
      <c r="U574" s="78">
        <f t="shared" si="68"/>
        <v>0</v>
      </c>
      <c r="V574" s="79">
        <f t="shared" si="69"/>
        <v>0</v>
      </c>
    </row>
    <row r="575" spans="2:22" x14ac:dyDescent="0.35">
      <c r="B575" s="71">
        <f t="shared" si="64"/>
        <v>0</v>
      </c>
      <c r="C575" s="72"/>
      <c r="D575" s="140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41"/>
      <c r="R575" s="88">
        <f t="shared" si="65"/>
        <v>0</v>
      </c>
      <c r="S575" s="78">
        <f t="shared" si="66"/>
        <v>0</v>
      </c>
      <c r="T575" s="78">
        <f t="shared" si="67"/>
        <v>0</v>
      </c>
      <c r="U575" s="78">
        <f t="shared" si="68"/>
        <v>0</v>
      </c>
      <c r="V575" s="79">
        <f t="shared" si="69"/>
        <v>0</v>
      </c>
    </row>
    <row r="576" spans="2:22" x14ac:dyDescent="0.35">
      <c r="B576" s="71">
        <f t="shared" si="64"/>
        <v>0</v>
      </c>
      <c r="C576" s="72"/>
      <c r="D576" s="140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41"/>
      <c r="R576" s="88">
        <f t="shared" si="65"/>
        <v>0</v>
      </c>
      <c r="S576" s="78">
        <f t="shared" si="66"/>
        <v>0</v>
      </c>
      <c r="T576" s="78">
        <f t="shared" si="67"/>
        <v>0</v>
      </c>
      <c r="U576" s="78">
        <f t="shared" si="68"/>
        <v>0</v>
      </c>
      <c r="V576" s="79">
        <f t="shared" si="69"/>
        <v>0</v>
      </c>
    </row>
    <row r="577" spans="2:22" x14ac:dyDescent="0.35">
      <c r="B577" s="71">
        <f t="shared" si="64"/>
        <v>0</v>
      </c>
      <c r="C577" s="72"/>
      <c r="D577" s="140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41"/>
      <c r="R577" s="88">
        <f t="shared" si="65"/>
        <v>0</v>
      </c>
      <c r="S577" s="78">
        <f t="shared" si="66"/>
        <v>0</v>
      </c>
      <c r="T577" s="78">
        <f t="shared" si="67"/>
        <v>0</v>
      </c>
      <c r="U577" s="78">
        <f t="shared" si="68"/>
        <v>0</v>
      </c>
      <c r="V577" s="79">
        <f t="shared" si="69"/>
        <v>0</v>
      </c>
    </row>
    <row r="578" spans="2:22" x14ac:dyDescent="0.35">
      <c r="B578" s="71">
        <f t="shared" si="64"/>
        <v>0</v>
      </c>
      <c r="C578" s="72"/>
      <c r="D578" s="140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41"/>
      <c r="R578" s="88">
        <f t="shared" si="65"/>
        <v>0</v>
      </c>
      <c r="S578" s="78">
        <f t="shared" si="66"/>
        <v>0</v>
      </c>
      <c r="T578" s="78">
        <f t="shared" si="67"/>
        <v>0</v>
      </c>
      <c r="U578" s="78">
        <f t="shared" si="68"/>
        <v>0</v>
      </c>
      <c r="V578" s="79">
        <f t="shared" si="69"/>
        <v>0</v>
      </c>
    </row>
    <row r="579" spans="2:22" x14ac:dyDescent="0.35">
      <c r="B579" s="71">
        <f t="shared" si="64"/>
        <v>0</v>
      </c>
      <c r="C579" s="72"/>
      <c r="D579" s="140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41"/>
      <c r="R579" s="88">
        <f t="shared" si="65"/>
        <v>0</v>
      </c>
      <c r="S579" s="78">
        <f t="shared" si="66"/>
        <v>0</v>
      </c>
      <c r="T579" s="78">
        <f t="shared" si="67"/>
        <v>0</v>
      </c>
      <c r="U579" s="78">
        <f t="shared" si="68"/>
        <v>0</v>
      </c>
      <c r="V579" s="79">
        <f t="shared" si="69"/>
        <v>0</v>
      </c>
    </row>
    <row r="580" spans="2:22" x14ac:dyDescent="0.35">
      <c r="B580" s="71">
        <f t="shared" si="64"/>
        <v>0</v>
      </c>
      <c r="C580" s="72"/>
      <c r="D580" s="140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41"/>
      <c r="R580" s="88">
        <f t="shared" si="65"/>
        <v>0</v>
      </c>
      <c r="S580" s="78">
        <f t="shared" si="66"/>
        <v>0</v>
      </c>
      <c r="T580" s="78">
        <f t="shared" si="67"/>
        <v>0</v>
      </c>
      <c r="U580" s="78">
        <f t="shared" si="68"/>
        <v>0</v>
      </c>
      <c r="V580" s="79">
        <f t="shared" si="69"/>
        <v>0</v>
      </c>
    </row>
    <row r="581" spans="2:22" x14ac:dyDescent="0.35">
      <c r="B581" s="71">
        <f t="shared" si="64"/>
        <v>0</v>
      </c>
      <c r="C581" s="72"/>
      <c r="D581" s="140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41"/>
      <c r="R581" s="88">
        <f t="shared" si="65"/>
        <v>0</v>
      </c>
      <c r="S581" s="78">
        <f t="shared" si="66"/>
        <v>0</v>
      </c>
      <c r="T581" s="78">
        <f t="shared" si="67"/>
        <v>0</v>
      </c>
      <c r="U581" s="78">
        <f t="shared" si="68"/>
        <v>0</v>
      </c>
      <c r="V581" s="79">
        <f t="shared" si="69"/>
        <v>0</v>
      </c>
    </row>
    <row r="582" spans="2:22" x14ac:dyDescent="0.35">
      <c r="B582" s="71">
        <f t="shared" si="64"/>
        <v>0</v>
      </c>
      <c r="C582" s="72"/>
      <c r="D582" s="140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41"/>
      <c r="R582" s="88">
        <f t="shared" si="65"/>
        <v>0</v>
      </c>
      <c r="S582" s="78">
        <f t="shared" si="66"/>
        <v>0</v>
      </c>
      <c r="T582" s="78">
        <f t="shared" si="67"/>
        <v>0</v>
      </c>
      <c r="U582" s="78">
        <f t="shared" si="68"/>
        <v>0</v>
      </c>
      <c r="V582" s="79">
        <f t="shared" si="69"/>
        <v>0</v>
      </c>
    </row>
    <row r="583" spans="2:22" x14ac:dyDescent="0.35">
      <c r="B583" s="71">
        <f t="shared" si="64"/>
        <v>0</v>
      </c>
      <c r="C583" s="72"/>
      <c r="D583" s="140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41"/>
      <c r="R583" s="88">
        <f t="shared" si="65"/>
        <v>0</v>
      </c>
      <c r="S583" s="78">
        <f t="shared" si="66"/>
        <v>0</v>
      </c>
      <c r="T583" s="78">
        <f t="shared" si="67"/>
        <v>0</v>
      </c>
      <c r="U583" s="78">
        <f t="shared" si="68"/>
        <v>0</v>
      </c>
      <c r="V583" s="79">
        <f t="shared" si="69"/>
        <v>0</v>
      </c>
    </row>
    <row r="584" spans="2:22" x14ac:dyDescent="0.35">
      <c r="B584" s="71">
        <f t="shared" si="64"/>
        <v>0</v>
      </c>
      <c r="C584" s="72"/>
      <c r="D584" s="140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41"/>
      <c r="R584" s="88">
        <f t="shared" si="65"/>
        <v>0</v>
      </c>
      <c r="S584" s="78">
        <f t="shared" si="66"/>
        <v>0</v>
      </c>
      <c r="T584" s="78">
        <f t="shared" si="67"/>
        <v>0</v>
      </c>
      <c r="U584" s="78">
        <f t="shared" si="68"/>
        <v>0</v>
      </c>
      <c r="V584" s="79">
        <f t="shared" si="69"/>
        <v>0</v>
      </c>
    </row>
    <row r="585" spans="2:22" x14ac:dyDescent="0.35">
      <c r="B585" s="71">
        <f t="shared" ref="B585:B626" si="70">SUM(E585:P585)</f>
        <v>0</v>
      </c>
      <c r="C585" s="72"/>
      <c r="D585" s="140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41"/>
      <c r="R585" s="88">
        <f t="shared" si="65"/>
        <v>0</v>
      </c>
      <c r="S585" s="78">
        <f t="shared" si="66"/>
        <v>0</v>
      </c>
      <c r="T585" s="78">
        <f t="shared" si="67"/>
        <v>0</v>
      </c>
      <c r="U585" s="78">
        <f t="shared" si="68"/>
        <v>0</v>
      </c>
      <c r="V585" s="79">
        <f t="shared" si="69"/>
        <v>0</v>
      </c>
    </row>
    <row r="586" spans="2:22" x14ac:dyDescent="0.35">
      <c r="B586" s="71">
        <f t="shared" si="70"/>
        <v>0</v>
      </c>
      <c r="C586" s="72"/>
      <c r="D586" s="140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41"/>
      <c r="R586" s="88">
        <f t="shared" si="65"/>
        <v>0</v>
      </c>
      <c r="S586" s="78">
        <f t="shared" si="66"/>
        <v>0</v>
      </c>
      <c r="T586" s="78">
        <f t="shared" si="67"/>
        <v>0</v>
      </c>
      <c r="U586" s="78">
        <f t="shared" si="68"/>
        <v>0</v>
      </c>
      <c r="V586" s="79">
        <f t="shared" si="69"/>
        <v>0</v>
      </c>
    </row>
    <row r="587" spans="2:22" x14ac:dyDescent="0.35">
      <c r="B587" s="71">
        <f t="shared" si="70"/>
        <v>0</v>
      </c>
      <c r="C587" s="72"/>
      <c r="D587" s="140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41"/>
      <c r="R587" s="88">
        <f t="shared" ref="R587:R625" si="71">SUM(E587:P587)</f>
        <v>0</v>
      </c>
      <c r="S587" s="78">
        <f t="shared" ref="S587:S625" si="72">SUM(H587:P587)/9*12</f>
        <v>0</v>
      </c>
      <c r="T587" s="78">
        <f t="shared" ref="T587:T625" si="73">SUM(K587:P587)*2</f>
        <v>0</v>
      </c>
      <c r="U587" s="78">
        <f t="shared" ref="U587:U625" si="74">SUM(N587:P587)*4</f>
        <v>0</v>
      </c>
      <c r="V587" s="79">
        <f t="shared" ref="V587:V625" si="75">SUM(P587)*12</f>
        <v>0</v>
      </c>
    </row>
    <row r="588" spans="2:22" x14ac:dyDescent="0.35">
      <c r="B588" s="71">
        <f t="shared" si="70"/>
        <v>0</v>
      </c>
      <c r="C588" s="72"/>
      <c r="D588" s="140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41"/>
      <c r="R588" s="88">
        <f t="shared" si="71"/>
        <v>0</v>
      </c>
      <c r="S588" s="78">
        <f t="shared" si="72"/>
        <v>0</v>
      </c>
      <c r="T588" s="78">
        <f t="shared" si="73"/>
        <v>0</v>
      </c>
      <c r="U588" s="78">
        <f t="shared" si="74"/>
        <v>0</v>
      </c>
      <c r="V588" s="79">
        <f t="shared" si="75"/>
        <v>0</v>
      </c>
    </row>
    <row r="589" spans="2:22" x14ac:dyDescent="0.35">
      <c r="B589" s="71">
        <f t="shared" si="70"/>
        <v>0</v>
      </c>
      <c r="C589" s="72"/>
      <c r="D589" s="140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41"/>
      <c r="R589" s="88">
        <f t="shared" si="71"/>
        <v>0</v>
      </c>
      <c r="S589" s="78">
        <f t="shared" si="72"/>
        <v>0</v>
      </c>
      <c r="T589" s="78">
        <f t="shared" si="73"/>
        <v>0</v>
      </c>
      <c r="U589" s="78">
        <f t="shared" si="74"/>
        <v>0</v>
      </c>
      <c r="V589" s="79">
        <f t="shared" si="75"/>
        <v>0</v>
      </c>
    </row>
    <row r="590" spans="2:22" x14ac:dyDescent="0.35">
      <c r="B590" s="71">
        <f t="shared" si="70"/>
        <v>0</v>
      </c>
      <c r="C590" s="72"/>
      <c r="D590" s="140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41"/>
      <c r="R590" s="88">
        <f t="shared" si="71"/>
        <v>0</v>
      </c>
      <c r="S590" s="78">
        <f t="shared" si="72"/>
        <v>0</v>
      </c>
      <c r="T590" s="78">
        <f t="shared" si="73"/>
        <v>0</v>
      </c>
      <c r="U590" s="78">
        <f t="shared" si="74"/>
        <v>0</v>
      </c>
      <c r="V590" s="79">
        <f t="shared" si="75"/>
        <v>0</v>
      </c>
    </row>
    <row r="591" spans="2:22" x14ac:dyDescent="0.35">
      <c r="B591" s="71">
        <f t="shared" si="70"/>
        <v>0</v>
      </c>
      <c r="C591" s="72"/>
      <c r="D591" s="140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41"/>
      <c r="R591" s="88">
        <f t="shared" si="71"/>
        <v>0</v>
      </c>
      <c r="S591" s="78">
        <f t="shared" si="72"/>
        <v>0</v>
      </c>
      <c r="T591" s="78">
        <f t="shared" si="73"/>
        <v>0</v>
      </c>
      <c r="U591" s="78">
        <f t="shared" si="74"/>
        <v>0</v>
      </c>
      <c r="V591" s="79">
        <f t="shared" si="75"/>
        <v>0</v>
      </c>
    </row>
    <row r="592" spans="2:22" x14ac:dyDescent="0.35">
      <c r="B592" s="71">
        <f t="shared" si="70"/>
        <v>0</v>
      </c>
      <c r="C592" s="72"/>
      <c r="D592" s="140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41"/>
      <c r="R592" s="88">
        <f t="shared" si="71"/>
        <v>0</v>
      </c>
      <c r="S592" s="78">
        <f t="shared" si="72"/>
        <v>0</v>
      </c>
      <c r="T592" s="78">
        <f t="shared" si="73"/>
        <v>0</v>
      </c>
      <c r="U592" s="78">
        <f t="shared" si="74"/>
        <v>0</v>
      </c>
      <c r="V592" s="79">
        <f t="shared" si="75"/>
        <v>0</v>
      </c>
    </row>
    <row r="593" spans="2:22" x14ac:dyDescent="0.35">
      <c r="B593" s="71">
        <f t="shared" si="70"/>
        <v>0</v>
      </c>
      <c r="C593" s="72"/>
      <c r="D593" s="140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41"/>
      <c r="R593" s="88">
        <f t="shared" si="71"/>
        <v>0</v>
      </c>
      <c r="S593" s="78">
        <f t="shared" si="72"/>
        <v>0</v>
      </c>
      <c r="T593" s="78">
        <f t="shared" si="73"/>
        <v>0</v>
      </c>
      <c r="U593" s="78">
        <f t="shared" si="74"/>
        <v>0</v>
      </c>
      <c r="V593" s="79">
        <f t="shared" si="75"/>
        <v>0</v>
      </c>
    </row>
    <row r="594" spans="2:22" x14ac:dyDescent="0.35">
      <c r="B594" s="71">
        <f t="shared" si="70"/>
        <v>0</v>
      </c>
      <c r="C594" s="72"/>
      <c r="D594" s="140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41"/>
      <c r="R594" s="88">
        <f t="shared" si="71"/>
        <v>0</v>
      </c>
      <c r="S594" s="78">
        <f t="shared" si="72"/>
        <v>0</v>
      </c>
      <c r="T594" s="78">
        <f t="shared" si="73"/>
        <v>0</v>
      </c>
      <c r="U594" s="78">
        <f t="shared" si="74"/>
        <v>0</v>
      </c>
      <c r="V594" s="79">
        <f t="shared" si="75"/>
        <v>0</v>
      </c>
    </row>
    <row r="595" spans="2:22" x14ac:dyDescent="0.35">
      <c r="B595" s="71">
        <f t="shared" si="70"/>
        <v>0</v>
      </c>
      <c r="C595" s="72"/>
      <c r="D595" s="140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41"/>
      <c r="R595" s="88">
        <f t="shared" si="71"/>
        <v>0</v>
      </c>
      <c r="S595" s="78">
        <f t="shared" si="72"/>
        <v>0</v>
      </c>
      <c r="T595" s="78">
        <f t="shared" si="73"/>
        <v>0</v>
      </c>
      <c r="U595" s="78">
        <f t="shared" si="74"/>
        <v>0</v>
      </c>
      <c r="V595" s="79">
        <f t="shared" si="75"/>
        <v>0</v>
      </c>
    </row>
    <row r="596" spans="2:22" x14ac:dyDescent="0.35">
      <c r="B596" s="71">
        <f t="shared" si="70"/>
        <v>0</v>
      </c>
      <c r="C596" s="72"/>
      <c r="D596" s="140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41"/>
      <c r="R596" s="88">
        <f t="shared" si="71"/>
        <v>0</v>
      </c>
      <c r="S596" s="78">
        <f t="shared" si="72"/>
        <v>0</v>
      </c>
      <c r="T596" s="78">
        <f t="shared" si="73"/>
        <v>0</v>
      </c>
      <c r="U596" s="78">
        <f t="shared" si="74"/>
        <v>0</v>
      </c>
      <c r="V596" s="79">
        <f t="shared" si="75"/>
        <v>0</v>
      </c>
    </row>
    <row r="597" spans="2:22" x14ac:dyDescent="0.35">
      <c r="B597" s="71">
        <f t="shared" si="70"/>
        <v>0</v>
      </c>
      <c r="C597" s="72"/>
      <c r="D597" s="140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41"/>
      <c r="R597" s="88">
        <f t="shared" si="71"/>
        <v>0</v>
      </c>
      <c r="S597" s="78">
        <f t="shared" si="72"/>
        <v>0</v>
      </c>
      <c r="T597" s="78">
        <f t="shared" si="73"/>
        <v>0</v>
      </c>
      <c r="U597" s="78">
        <f t="shared" si="74"/>
        <v>0</v>
      </c>
      <c r="V597" s="79">
        <f t="shared" si="75"/>
        <v>0</v>
      </c>
    </row>
    <row r="598" spans="2:22" x14ac:dyDescent="0.35">
      <c r="B598" s="71">
        <f t="shared" si="70"/>
        <v>0</v>
      </c>
      <c r="C598" s="72"/>
      <c r="D598" s="140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41"/>
      <c r="R598" s="88">
        <f t="shared" si="71"/>
        <v>0</v>
      </c>
      <c r="S598" s="78">
        <f t="shared" si="72"/>
        <v>0</v>
      </c>
      <c r="T598" s="78">
        <f t="shared" si="73"/>
        <v>0</v>
      </c>
      <c r="U598" s="78">
        <f t="shared" si="74"/>
        <v>0</v>
      </c>
      <c r="V598" s="79">
        <f t="shared" si="75"/>
        <v>0</v>
      </c>
    </row>
    <row r="599" spans="2:22" x14ac:dyDescent="0.35">
      <c r="B599" s="71">
        <f t="shared" si="70"/>
        <v>0</v>
      </c>
      <c r="C599" s="72"/>
      <c r="D599" s="140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41"/>
      <c r="R599" s="88">
        <f t="shared" si="71"/>
        <v>0</v>
      </c>
      <c r="S599" s="78">
        <f t="shared" si="72"/>
        <v>0</v>
      </c>
      <c r="T599" s="78">
        <f t="shared" si="73"/>
        <v>0</v>
      </c>
      <c r="U599" s="78">
        <f t="shared" si="74"/>
        <v>0</v>
      </c>
      <c r="V599" s="79">
        <f t="shared" si="75"/>
        <v>0</v>
      </c>
    </row>
    <row r="600" spans="2:22" x14ac:dyDescent="0.35">
      <c r="B600" s="71">
        <f t="shared" si="70"/>
        <v>0</v>
      </c>
      <c r="C600" s="72"/>
      <c r="D600" s="140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41"/>
      <c r="R600" s="88">
        <f t="shared" si="71"/>
        <v>0</v>
      </c>
      <c r="S600" s="78">
        <f t="shared" si="72"/>
        <v>0</v>
      </c>
      <c r="T600" s="78">
        <f t="shared" si="73"/>
        <v>0</v>
      </c>
      <c r="U600" s="78">
        <f t="shared" si="74"/>
        <v>0</v>
      </c>
      <c r="V600" s="79">
        <f t="shared" si="75"/>
        <v>0</v>
      </c>
    </row>
    <row r="601" spans="2:22" x14ac:dyDescent="0.35">
      <c r="B601" s="71">
        <f t="shared" si="70"/>
        <v>0</v>
      </c>
      <c r="C601" s="72"/>
      <c r="D601" s="140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41"/>
      <c r="R601" s="88">
        <f t="shared" si="71"/>
        <v>0</v>
      </c>
      <c r="S601" s="78">
        <f t="shared" si="72"/>
        <v>0</v>
      </c>
      <c r="T601" s="78">
        <f t="shared" si="73"/>
        <v>0</v>
      </c>
      <c r="U601" s="78">
        <f t="shared" si="74"/>
        <v>0</v>
      </c>
      <c r="V601" s="79">
        <f t="shared" si="75"/>
        <v>0</v>
      </c>
    </row>
    <row r="602" spans="2:22" x14ac:dyDescent="0.35">
      <c r="B602" s="71">
        <f t="shared" si="70"/>
        <v>0</v>
      </c>
      <c r="C602" s="72"/>
      <c r="D602" s="140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41"/>
      <c r="R602" s="88">
        <f t="shared" si="71"/>
        <v>0</v>
      </c>
      <c r="S602" s="78">
        <f t="shared" si="72"/>
        <v>0</v>
      </c>
      <c r="T602" s="78">
        <f t="shared" si="73"/>
        <v>0</v>
      </c>
      <c r="U602" s="78">
        <f t="shared" si="74"/>
        <v>0</v>
      </c>
      <c r="V602" s="79">
        <f t="shared" si="75"/>
        <v>0</v>
      </c>
    </row>
    <row r="603" spans="2:22" x14ac:dyDescent="0.35">
      <c r="B603" s="71">
        <f t="shared" si="70"/>
        <v>0</v>
      </c>
      <c r="C603" s="72"/>
      <c r="D603" s="140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41"/>
      <c r="R603" s="88">
        <f t="shared" si="71"/>
        <v>0</v>
      </c>
      <c r="S603" s="78">
        <f t="shared" si="72"/>
        <v>0</v>
      </c>
      <c r="T603" s="78">
        <f t="shared" si="73"/>
        <v>0</v>
      </c>
      <c r="U603" s="78">
        <f t="shared" si="74"/>
        <v>0</v>
      </c>
      <c r="V603" s="79">
        <f t="shared" si="75"/>
        <v>0</v>
      </c>
    </row>
    <row r="604" spans="2:22" x14ac:dyDescent="0.35">
      <c r="B604" s="71">
        <f t="shared" si="70"/>
        <v>0</v>
      </c>
      <c r="C604" s="72"/>
      <c r="D604" s="140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41"/>
      <c r="R604" s="88">
        <f t="shared" si="71"/>
        <v>0</v>
      </c>
      <c r="S604" s="78">
        <f t="shared" si="72"/>
        <v>0</v>
      </c>
      <c r="T604" s="78">
        <f t="shared" si="73"/>
        <v>0</v>
      </c>
      <c r="U604" s="78">
        <f t="shared" si="74"/>
        <v>0</v>
      </c>
      <c r="V604" s="79">
        <f t="shared" si="75"/>
        <v>0</v>
      </c>
    </row>
    <row r="605" spans="2:22" x14ac:dyDescent="0.35">
      <c r="B605" s="71">
        <f t="shared" si="70"/>
        <v>0</v>
      </c>
      <c r="C605" s="72"/>
      <c r="D605" s="140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41"/>
      <c r="R605" s="88">
        <f t="shared" si="71"/>
        <v>0</v>
      </c>
      <c r="S605" s="78">
        <f t="shared" si="72"/>
        <v>0</v>
      </c>
      <c r="T605" s="78">
        <f t="shared" si="73"/>
        <v>0</v>
      </c>
      <c r="U605" s="78">
        <f t="shared" si="74"/>
        <v>0</v>
      </c>
      <c r="V605" s="79">
        <f t="shared" si="75"/>
        <v>0</v>
      </c>
    </row>
    <row r="606" spans="2:22" x14ac:dyDescent="0.35">
      <c r="B606" s="71">
        <f t="shared" si="70"/>
        <v>0</v>
      </c>
      <c r="C606" s="72"/>
      <c r="D606" s="140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41"/>
      <c r="R606" s="88">
        <f t="shared" si="71"/>
        <v>0</v>
      </c>
      <c r="S606" s="78">
        <f t="shared" si="72"/>
        <v>0</v>
      </c>
      <c r="T606" s="78">
        <f t="shared" si="73"/>
        <v>0</v>
      </c>
      <c r="U606" s="78">
        <f t="shared" si="74"/>
        <v>0</v>
      </c>
      <c r="V606" s="79">
        <f t="shared" si="75"/>
        <v>0</v>
      </c>
    </row>
    <row r="607" spans="2:22" x14ac:dyDescent="0.35">
      <c r="B607" s="71">
        <f t="shared" si="70"/>
        <v>0</v>
      </c>
      <c r="C607" s="72"/>
      <c r="D607" s="140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41"/>
      <c r="R607" s="88">
        <f t="shared" si="71"/>
        <v>0</v>
      </c>
      <c r="S607" s="78">
        <f t="shared" si="72"/>
        <v>0</v>
      </c>
      <c r="T607" s="78">
        <f t="shared" si="73"/>
        <v>0</v>
      </c>
      <c r="U607" s="78">
        <f t="shared" si="74"/>
        <v>0</v>
      </c>
      <c r="V607" s="79">
        <f t="shared" si="75"/>
        <v>0</v>
      </c>
    </row>
    <row r="608" spans="2:22" x14ac:dyDescent="0.35">
      <c r="B608" s="71">
        <f t="shared" si="70"/>
        <v>0</v>
      </c>
      <c r="C608" s="72"/>
      <c r="D608" s="140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41"/>
      <c r="R608" s="88">
        <f t="shared" si="71"/>
        <v>0</v>
      </c>
      <c r="S608" s="78">
        <f t="shared" si="72"/>
        <v>0</v>
      </c>
      <c r="T608" s="78">
        <f t="shared" si="73"/>
        <v>0</v>
      </c>
      <c r="U608" s="78">
        <f t="shared" si="74"/>
        <v>0</v>
      </c>
      <c r="V608" s="79">
        <f t="shared" si="75"/>
        <v>0</v>
      </c>
    </row>
    <row r="609" spans="2:22" x14ac:dyDescent="0.35">
      <c r="B609" s="71">
        <f t="shared" si="70"/>
        <v>0</v>
      </c>
      <c r="C609" s="72"/>
      <c r="D609" s="140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41"/>
      <c r="R609" s="88">
        <f t="shared" si="71"/>
        <v>0</v>
      </c>
      <c r="S609" s="78">
        <f t="shared" si="72"/>
        <v>0</v>
      </c>
      <c r="T609" s="78">
        <f t="shared" si="73"/>
        <v>0</v>
      </c>
      <c r="U609" s="78">
        <f t="shared" si="74"/>
        <v>0</v>
      </c>
      <c r="V609" s="79">
        <f t="shared" si="75"/>
        <v>0</v>
      </c>
    </row>
    <row r="610" spans="2:22" x14ac:dyDescent="0.35">
      <c r="B610" s="71">
        <f t="shared" si="70"/>
        <v>0</v>
      </c>
      <c r="C610" s="72"/>
      <c r="D610" s="140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41"/>
      <c r="R610" s="88">
        <f t="shared" si="71"/>
        <v>0</v>
      </c>
      <c r="S610" s="78">
        <f t="shared" si="72"/>
        <v>0</v>
      </c>
      <c r="T610" s="78">
        <f t="shared" si="73"/>
        <v>0</v>
      </c>
      <c r="U610" s="78">
        <f t="shared" si="74"/>
        <v>0</v>
      </c>
      <c r="V610" s="79">
        <f t="shared" si="75"/>
        <v>0</v>
      </c>
    </row>
    <row r="611" spans="2:22" x14ac:dyDescent="0.35">
      <c r="B611" s="71">
        <f t="shared" si="70"/>
        <v>0</v>
      </c>
      <c r="C611" s="72"/>
      <c r="D611" s="140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41"/>
      <c r="R611" s="88">
        <f t="shared" si="71"/>
        <v>0</v>
      </c>
      <c r="S611" s="78">
        <f t="shared" si="72"/>
        <v>0</v>
      </c>
      <c r="T611" s="78">
        <f t="shared" si="73"/>
        <v>0</v>
      </c>
      <c r="U611" s="78">
        <f t="shared" si="74"/>
        <v>0</v>
      </c>
      <c r="V611" s="79">
        <f t="shared" si="75"/>
        <v>0</v>
      </c>
    </row>
    <row r="612" spans="2:22" x14ac:dyDescent="0.35">
      <c r="B612" s="71">
        <f t="shared" si="70"/>
        <v>0</v>
      </c>
      <c r="C612" s="72"/>
      <c r="D612" s="140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41"/>
      <c r="R612" s="88">
        <f t="shared" si="71"/>
        <v>0</v>
      </c>
      <c r="S612" s="78">
        <f t="shared" si="72"/>
        <v>0</v>
      </c>
      <c r="T612" s="78">
        <f t="shared" si="73"/>
        <v>0</v>
      </c>
      <c r="U612" s="78">
        <f t="shared" si="74"/>
        <v>0</v>
      </c>
      <c r="V612" s="79">
        <f t="shared" si="75"/>
        <v>0</v>
      </c>
    </row>
    <row r="613" spans="2:22" x14ac:dyDescent="0.35">
      <c r="B613" s="71">
        <f t="shared" si="70"/>
        <v>0</v>
      </c>
      <c r="C613" s="72"/>
      <c r="D613" s="140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41"/>
      <c r="R613" s="88">
        <f t="shared" si="71"/>
        <v>0</v>
      </c>
      <c r="S613" s="78">
        <f t="shared" si="72"/>
        <v>0</v>
      </c>
      <c r="T613" s="78">
        <f t="shared" si="73"/>
        <v>0</v>
      </c>
      <c r="U613" s="78">
        <f t="shared" si="74"/>
        <v>0</v>
      </c>
      <c r="V613" s="79">
        <f t="shared" si="75"/>
        <v>0</v>
      </c>
    </row>
    <row r="614" spans="2:22" x14ac:dyDescent="0.35">
      <c r="B614" s="71">
        <f t="shared" si="70"/>
        <v>0</v>
      </c>
      <c r="C614" s="72"/>
      <c r="D614" s="140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41"/>
      <c r="R614" s="88">
        <f t="shared" si="71"/>
        <v>0</v>
      </c>
      <c r="S614" s="78">
        <f t="shared" si="72"/>
        <v>0</v>
      </c>
      <c r="T614" s="78">
        <f t="shared" si="73"/>
        <v>0</v>
      </c>
      <c r="U614" s="78">
        <f t="shared" si="74"/>
        <v>0</v>
      </c>
      <c r="V614" s="79">
        <f t="shared" si="75"/>
        <v>0</v>
      </c>
    </row>
    <row r="615" spans="2:22" x14ac:dyDescent="0.35">
      <c r="B615" s="71">
        <f t="shared" si="70"/>
        <v>0</v>
      </c>
      <c r="C615" s="72"/>
      <c r="D615" s="140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41"/>
      <c r="R615" s="88">
        <f t="shared" si="71"/>
        <v>0</v>
      </c>
      <c r="S615" s="78">
        <f t="shared" si="72"/>
        <v>0</v>
      </c>
      <c r="T615" s="78">
        <f t="shared" si="73"/>
        <v>0</v>
      </c>
      <c r="U615" s="78">
        <f t="shared" si="74"/>
        <v>0</v>
      </c>
      <c r="V615" s="79">
        <f t="shared" si="75"/>
        <v>0</v>
      </c>
    </row>
    <row r="616" spans="2:22" x14ac:dyDescent="0.35">
      <c r="B616" s="71">
        <f t="shared" si="70"/>
        <v>0</v>
      </c>
      <c r="C616" s="72"/>
      <c r="D616" s="140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41"/>
      <c r="R616" s="88">
        <f t="shared" si="71"/>
        <v>0</v>
      </c>
      <c r="S616" s="78">
        <f t="shared" si="72"/>
        <v>0</v>
      </c>
      <c r="T616" s="78">
        <f t="shared" si="73"/>
        <v>0</v>
      </c>
      <c r="U616" s="78">
        <f t="shared" si="74"/>
        <v>0</v>
      </c>
      <c r="V616" s="79">
        <f t="shared" si="75"/>
        <v>0</v>
      </c>
    </row>
    <row r="617" spans="2:22" x14ac:dyDescent="0.35">
      <c r="B617" s="71">
        <f t="shared" si="70"/>
        <v>0</v>
      </c>
      <c r="C617" s="72"/>
      <c r="D617" s="140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41"/>
      <c r="R617" s="88">
        <f t="shared" si="71"/>
        <v>0</v>
      </c>
      <c r="S617" s="78">
        <f t="shared" si="72"/>
        <v>0</v>
      </c>
      <c r="T617" s="78">
        <f t="shared" si="73"/>
        <v>0</v>
      </c>
      <c r="U617" s="78">
        <f t="shared" si="74"/>
        <v>0</v>
      </c>
      <c r="V617" s="79">
        <f t="shared" si="75"/>
        <v>0</v>
      </c>
    </row>
    <row r="618" spans="2:22" x14ac:dyDescent="0.35">
      <c r="B618" s="71">
        <f t="shared" si="70"/>
        <v>0</v>
      </c>
      <c r="C618" s="72"/>
      <c r="D618" s="140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41"/>
      <c r="R618" s="88">
        <f t="shared" si="71"/>
        <v>0</v>
      </c>
      <c r="S618" s="78">
        <f t="shared" si="72"/>
        <v>0</v>
      </c>
      <c r="T618" s="78">
        <f t="shared" si="73"/>
        <v>0</v>
      </c>
      <c r="U618" s="78">
        <f t="shared" si="74"/>
        <v>0</v>
      </c>
      <c r="V618" s="79">
        <f t="shared" si="75"/>
        <v>0</v>
      </c>
    </row>
    <row r="619" spans="2:22" x14ac:dyDescent="0.35">
      <c r="B619" s="71">
        <f t="shared" si="70"/>
        <v>0</v>
      </c>
      <c r="C619" s="72"/>
      <c r="D619" s="140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41"/>
      <c r="R619" s="88">
        <f t="shared" si="71"/>
        <v>0</v>
      </c>
      <c r="S619" s="78">
        <f t="shared" si="72"/>
        <v>0</v>
      </c>
      <c r="T619" s="78">
        <f t="shared" si="73"/>
        <v>0</v>
      </c>
      <c r="U619" s="78">
        <f t="shared" si="74"/>
        <v>0</v>
      </c>
      <c r="V619" s="79">
        <f t="shared" si="75"/>
        <v>0</v>
      </c>
    </row>
    <row r="620" spans="2:22" x14ac:dyDescent="0.35">
      <c r="B620" s="71">
        <f t="shared" si="70"/>
        <v>0</v>
      </c>
      <c r="C620" s="72"/>
      <c r="D620" s="140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41"/>
      <c r="R620" s="88">
        <f t="shared" si="71"/>
        <v>0</v>
      </c>
      <c r="S620" s="78">
        <f t="shared" si="72"/>
        <v>0</v>
      </c>
      <c r="T620" s="78">
        <f t="shared" si="73"/>
        <v>0</v>
      </c>
      <c r="U620" s="78">
        <f t="shared" si="74"/>
        <v>0</v>
      </c>
      <c r="V620" s="79">
        <f t="shared" si="75"/>
        <v>0</v>
      </c>
    </row>
    <row r="621" spans="2:22" x14ac:dyDescent="0.35">
      <c r="B621" s="71">
        <f t="shared" si="70"/>
        <v>0</v>
      </c>
      <c r="C621" s="72"/>
      <c r="D621" s="140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41"/>
      <c r="R621" s="88">
        <f t="shared" si="71"/>
        <v>0</v>
      </c>
      <c r="S621" s="78">
        <f t="shared" si="72"/>
        <v>0</v>
      </c>
      <c r="T621" s="78">
        <f t="shared" si="73"/>
        <v>0</v>
      </c>
      <c r="U621" s="78">
        <f t="shared" si="74"/>
        <v>0</v>
      </c>
      <c r="V621" s="79">
        <f t="shared" si="75"/>
        <v>0</v>
      </c>
    </row>
    <row r="622" spans="2:22" x14ac:dyDescent="0.35">
      <c r="B622" s="71">
        <f t="shared" si="70"/>
        <v>0</v>
      </c>
      <c r="C622" s="72"/>
      <c r="D622" s="140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41"/>
      <c r="R622" s="88">
        <f t="shared" si="71"/>
        <v>0</v>
      </c>
      <c r="S622" s="78">
        <f t="shared" si="72"/>
        <v>0</v>
      </c>
      <c r="T622" s="78">
        <f t="shared" si="73"/>
        <v>0</v>
      </c>
      <c r="U622" s="78">
        <f t="shared" si="74"/>
        <v>0</v>
      </c>
      <c r="V622" s="79">
        <f t="shared" si="75"/>
        <v>0</v>
      </c>
    </row>
    <row r="623" spans="2:22" x14ac:dyDescent="0.35">
      <c r="B623" s="71">
        <f t="shared" si="70"/>
        <v>0</v>
      </c>
      <c r="C623" s="72"/>
      <c r="D623" s="140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41"/>
      <c r="R623" s="88">
        <f t="shared" si="71"/>
        <v>0</v>
      </c>
      <c r="S623" s="78">
        <f t="shared" si="72"/>
        <v>0</v>
      </c>
      <c r="T623" s="78">
        <f t="shared" si="73"/>
        <v>0</v>
      </c>
      <c r="U623" s="78">
        <f t="shared" si="74"/>
        <v>0</v>
      </c>
      <c r="V623" s="79">
        <f t="shared" si="75"/>
        <v>0</v>
      </c>
    </row>
    <row r="624" spans="2:22" x14ac:dyDescent="0.35">
      <c r="B624" s="71">
        <f t="shared" si="70"/>
        <v>0</v>
      </c>
      <c r="C624" s="72"/>
      <c r="D624" s="140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41"/>
      <c r="R624" s="88">
        <f t="shared" si="71"/>
        <v>0</v>
      </c>
      <c r="S624" s="78">
        <f t="shared" si="72"/>
        <v>0</v>
      </c>
      <c r="T624" s="78">
        <f t="shared" si="73"/>
        <v>0</v>
      </c>
      <c r="U624" s="78">
        <f t="shared" si="74"/>
        <v>0</v>
      </c>
      <c r="V624" s="79">
        <f t="shared" si="75"/>
        <v>0</v>
      </c>
    </row>
    <row r="625" spans="2:22" x14ac:dyDescent="0.35">
      <c r="B625" s="71">
        <f t="shared" si="70"/>
        <v>0</v>
      </c>
      <c r="C625" s="72"/>
      <c r="D625" s="140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41"/>
      <c r="R625" s="147">
        <f t="shared" si="71"/>
        <v>0</v>
      </c>
      <c r="S625" s="148">
        <f t="shared" si="72"/>
        <v>0</v>
      </c>
      <c r="T625" s="148">
        <f t="shared" si="73"/>
        <v>0</v>
      </c>
      <c r="U625" s="148">
        <f t="shared" si="74"/>
        <v>0</v>
      </c>
      <c r="V625" s="149">
        <f t="shared" si="75"/>
        <v>0</v>
      </c>
    </row>
    <row r="626" spans="2:22" x14ac:dyDescent="0.35">
      <c r="B626" s="71">
        <f t="shared" si="70"/>
        <v>0</v>
      </c>
      <c r="C626" s="72"/>
      <c r="D626" s="140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41"/>
    </row>
    <row r="627" spans="2:22" x14ac:dyDescent="0.35">
      <c r="C627" s="72"/>
      <c r="D627" s="140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41"/>
    </row>
    <row r="628" spans="2:22" x14ac:dyDescent="0.35">
      <c r="C628" s="72"/>
      <c r="D628" s="140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41"/>
    </row>
    <row r="629" spans="2:22" x14ac:dyDescent="0.35">
      <c r="C629" s="72"/>
      <c r="D629" s="140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41"/>
    </row>
    <row r="630" spans="2:22" x14ac:dyDescent="0.35">
      <c r="C630" s="72"/>
      <c r="D630" s="140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41"/>
    </row>
    <row r="631" spans="2:22" x14ac:dyDescent="0.35">
      <c r="C631" s="72"/>
      <c r="D631" s="140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41"/>
    </row>
    <row r="632" spans="2:22" x14ac:dyDescent="0.35">
      <c r="C632" s="72"/>
      <c r="D632" s="140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41"/>
    </row>
    <row r="633" spans="2:22" x14ac:dyDescent="0.35">
      <c r="C633" s="72"/>
      <c r="D633" s="140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41"/>
    </row>
    <row r="634" spans="2:22" x14ac:dyDescent="0.35">
      <c r="C634" s="72"/>
      <c r="D634" s="140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41"/>
    </row>
    <row r="635" spans="2:22" x14ac:dyDescent="0.35">
      <c r="C635" s="72"/>
      <c r="D635" s="140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41"/>
    </row>
    <row r="636" spans="2:22" x14ac:dyDescent="0.35">
      <c r="C636" s="72"/>
      <c r="D636" s="140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41"/>
    </row>
    <row r="637" spans="2:22" x14ac:dyDescent="0.35">
      <c r="C637" s="72"/>
      <c r="D637" s="140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41"/>
    </row>
    <row r="638" spans="2:22" x14ac:dyDescent="0.35">
      <c r="C638" s="72"/>
      <c r="D638" s="140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41"/>
    </row>
    <row r="639" spans="2:22" x14ac:dyDescent="0.35">
      <c r="C639" s="72"/>
      <c r="D639" s="140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41"/>
    </row>
    <row r="640" spans="2:22" x14ac:dyDescent="0.35">
      <c r="C640" s="72"/>
      <c r="D640" s="140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41"/>
    </row>
    <row r="641" spans="3:16" x14ac:dyDescent="0.35">
      <c r="C641" s="72"/>
      <c r="D641" s="140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41"/>
    </row>
    <row r="642" spans="3:16" x14ac:dyDescent="0.35">
      <c r="C642" s="72"/>
      <c r="D642" s="140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41"/>
    </row>
    <row r="643" spans="3:16" x14ac:dyDescent="0.35">
      <c r="C643" s="72"/>
      <c r="D643" s="140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41"/>
    </row>
    <row r="644" spans="3:16" x14ac:dyDescent="0.35">
      <c r="C644" s="72"/>
      <c r="D644" s="140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41"/>
    </row>
    <row r="645" spans="3:16" x14ac:dyDescent="0.35">
      <c r="C645" s="72"/>
      <c r="D645" s="140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41"/>
    </row>
    <row r="646" spans="3:16" x14ac:dyDescent="0.35">
      <c r="C646" s="72"/>
      <c r="D646" s="140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41"/>
    </row>
    <row r="647" spans="3:16" x14ac:dyDescent="0.35">
      <c r="C647" s="72"/>
      <c r="D647" s="140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41"/>
    </row>
    <row r="648" spans="3:16" x14ac:dyDescent="0.35">
      <c r="C648" s="72"/>
      <c r="D648" s="140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41"/>
    </row>
    <row r="649" spans="3:16" x14ac:dyDescent="0.35">
      <c r="C649" s="72"/>
      <c r="D649" s="140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41"/>
    </row>
    <row r="650" spans="3:16" x14ac:dyDescent="0.35">
      <c r="C650" s="72"/>
      <c r="D650" s="140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41"/>
    </row>
    <row r="651" spans="3:16" x14ac:dyDescent="0.35">
      <c r="C651" s="72"/>
      <c r="D651" s="140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41"/>
    </row>
    <row r="652" spans="3:16" x14ac:dyDescent="0.35">
      <c r="C652" s="72"/>
      <c r="D652" s="140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41"/>
    </row>
    <row r="653" spans="3:16" x14ac:dyDescent="0.35">
      <c r="C653" s="72"/>
      <c r="D653" s="140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41"/>
    </row>
    <row r="654" spans="3:16" x14ac:dyDescent="0.35">
      <c r="C654" s="72"/>
      <c r="D654" s="140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41"/>
    </row>
    <row r="655" spans="3:16" x14ac:dyDescent="0.35">
      <c r="C655" s="72"/>
      <c r="D655" s="140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41"/>
    </row>
    <row r="656" spans="3:16" x14ac:dyDescent="0.35">
      <c r="C656" s="72"/>
      <c r="D656" s="140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41"/>
    </row>
    <row r="657" spans="3:16" x14ac:dyDescent="0.35">
      <c r="C657" s="72"/>
      <c r="D657" s="140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41"/>
    </row>
    <row r="658" spans="3:16" x14ac:dyDescent="0.35">
      <c r="C658" s="72"/>
      <c r="D658" s="140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41"/>
    </row>
    <row r="659" spans="3:16" x14ac:dyDescent="0.35">
      <c r="C659" s="72"/>
      <c r="D659" s="140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41"/>
    </row>
    <row r="660" spans="3:16" x14ac:dyDescent="0.35">
      <c r="C660" s="72"/>
      <c r="D660" s="140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41"/>
    </row>
    <row r="661" spans="3:16" x14ac:dyDescent="0.35">
      <c r="C661" s="72"/>
      <c r="D661" s="140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41"/>
    </row>
    <row r="662" spans="3:16" x14ac:dyDescent="0.35">
      <c r="C662" s="72"/>
      <c r="D662" s="140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41"/>
    </row>
    <row r="663" spans="3:16" x14ac:dyDescent="0.35">
      <c r="C663" s="72"/>
      <c r="D663" s="140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41"/>
    </row>
    <row r="664" spans="3:16" x14ac:dyDescent="0.35">
      <c r="C664" s="72"/>
      <c r="D664" s="140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41"/>
    </row>
    <row r="665" spans="3:16" x14ac:dyDescent="0.35">
      <c r="C665" s="72"/>
      <c r="D665" s="140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41"/>
    </row>
    <row r="666" spans="3:16" x14ac:dyDescent="0.35">
      <c r="C666" s="72"/>
      <c r="D666" s="140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41"/>
    </row>
    <row r="667" spans="3:16" x14ac:dyDescent="0.35">
      <c r="C667" s="72"/>
      <c r="D667" s="140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41"/>
    </row>
    <row r="668" spans="3:16" x14ac:dyDescent="0.35">
      <c r="C668" s="72"/>
      <c r="D668" s="140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41"/>
    </row>
    <row r="669" spans="3:16" x14ac:dyDescent="0.35">
      <c r="C669" s="72"/>
      <c r="D669" s="140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41"/>
    </row>
    <row r="670" spans="3:16" x14ac:dyDescent="0.35">
      <c r="C670" s="72"/>
      <c r="D670" s="140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41"/>
    </row>
    <row r="671" spans="3:16" x14ac:dyDescent="0.35">
      <c r="C671" s="72"/>
      <c r="D671" s="140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41"/>
    </row>
    <row r="672" spans="3:16" x14ac:dyDescent="0.35">
      <c r="C672" s="72"/>
      <c r="D672" s="140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41"/>
    </row>
    <row r="673" spans="3:16" x14ac:dyDescent="0.35">
      <c r="C673" s="72"/>
      <c r="D673" s="140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41"/>
    </row>
    <row r="674" spans="3:16" x14ac:dyDescent="0.35">
      <c r="C674" s="72"/>
      <c r="D674" s="140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41"/>
    </row>
    <row r="675" spans="3:16" x14ac:dyDescent="0.35">
      <c r="C675" s="72"/>
      <c r="D675" s="140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41"/>
    </row>
    <row r="676" spans="3:16" x14ac:dyDescent="0.35">
      <c r="C676" s="72"/>
      <c r="D676" s="140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41"/>
    </row>
    <row r="677" spans="3:16" x14ac:dyDescent="0.35">
      <c r="C677" s="72"/>
      <c r="D677" s="140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41"/>
    </row>
    <row r="678" spans="3:16" x14ac:dyDescent="0.35">
      <c r="C678" s="72"/>
      <c r="D678" s="140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41"/>
    </row>
    <row r="679" spans="3:16" x14ac:dyDescent="0.35">
      <c r="C679" s="72"/>
      <c r="D679" s="140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41"/>
    </row>
    <row r="680" spans="3:16" x14ac:dyDescent="0.35">
      <c r="C680" s="72"/>
      <c r="D680" s="140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41"/>
    </row>
    <row r="681" spans="3:16" x14ac:dyDescent="0.35">
      <c r="C681" s="72"/>
      <c r="D681" s="140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41"/>
    </row>
    <row r="682" spans="3:16" x14ac:dyDescent="0.35">
      <c r="C682" s="72"/>
      <c r="D682" s="140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41"/>
    </row>
    <row r="683" spans="3:16" x14ac:dyDescent="0.35">
      <c r="C683" s="72"/>
      <c r="D683" s="140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41"/>
    </row>
    <row r="684" spans="3:16" x14ac:dyDescent="0.35">
      <c r="C684" s="72"/>
      <c r="D684" s="140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41"/>
    </row>
    <row r="685" spans="3:16" x14ac:dyDescent="0.35">
      <c r="C685" s="72"/>
      <c r="D685" s="140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41"/>
    </row>
    <row r="686" spans="3:16" x14ac:dyDescent="0.35">
      <c r="C686" s="72"/>
      <c r="D686" s="140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41"/>
    </row>
    <row r="687" spans="3:16" x14ac:dyDescent="0.35">
      <c r="C687" s="72"/>
      <c r="D687" s="140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41"/>
    </row>
    <row r="688" spans="3:16" x14ac:dyDescent="0.35">
      <c r="C688" s="72"/>
      <c r="D688" s="140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41"/>
    </row>
    <row r="689" spans="3:16" x14ac:dyDescent="0.35">
      <c r="C689" s="72"/>
      <c r="D689" s="140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41"/>
    </row>
    <row r="690" spans="3:16" x14ac:dyDescent="0.35">
      <c r="C690" s="72"/>
      <c r="D690" s="140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41"/>
    </row>
    <row r="691" spans="3:16" x14ac:dyDescent="0.35">
      <c r="C691" s="72"/>
      <c r="D691" s="140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41"/>
    </row>
    <row r="692" spans="3:16" x14ac:dyDescent="0.35">
      <c r="C692" s="72"/>
      <c r="D692" s="140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41"/>
    </row>
    <row r="693" spans="3:16" x14ac:dyDescent="0.35">
      <c r="C693" s="72"/>
      <c r="D693" s="140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41"/>
    </row>
    <row r="694" spans="3:16" x14ac:dyDescent="0.35">
      <c r="C694" s="72"/>
      <c r="D694" s="140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41"/>
    </row>
    <row r="695" spans="3:16" x14ac:dyDescent="0.35">
      <c r="C695" s="72"/>
      <c r="D695" s="140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41"/>
    </row>
    <row r="696" spans="3:16" x14ac:dyDescent="0.35">
      <c r="C696" s="72"/>
      <c r="D696" s="140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41"/>
    </row>
    <row r="697" spans="3:16" x14ac:dyDescent="0.35">
      <c r="C697" s="72"/>
      <c r="D697" s="140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41"/>
    </row>
    <row r="698" spans="3:16" x14ac:dyDescent="0.35">
      <c r="C698" s="72"/>
      <c r="D698" s="140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41"/>
    </row>
    <row r="699" spans="3:16" x14ac:dyDescent="0.35">
      <c r="C699" s="72"/>
      <c r="D699" s="140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41"/>
    </row>
    <row r="700" spans="3:16" x14ac:dyDescent="0.35">
      <c r="C700" s="72"/>
      <c r="D700" s="140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41"/>
    </row>
    <row r="701" spans="3:16" x14ac:dyDescent="0.35">
      <c r="C701" s="72"/>
      <c r="D701" s="140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41"/>
    </row>
    <row r="702" spans="3:16" x14ac:dyDescent="0.35">
      <c r="C702" s="72"/>
      <c r="D702" s="140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41"/>
    </row>
    <row r="703" spans="3:16" x14ac:dyDescent="0.35">
      <c r="C703" s="72"/>
      <c r="D703" s="140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41"/>
    </row>
    <row r="704" spans="3:16" x14ac:dyDescent="0.35">
      <c r="C704" s="72"/>
      <c r="D704" s="140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41"/>
    </row>
    <row r="705" spans="3:16" x14ac:dyDescent="0.35">
      <c r="C705" s="72"/>
      <c r="D705" s="140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41"/>
    </row>
    <row r="706" spans="3:16" x14ac:dyDescent="0.35">
      <c r="C706" s="72"/>
      <c r="D706" s="140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41"/>
    </row>
    <row r="707" spans="3:16" x14ac:dyDescent="0.35">
      <c r="C707" s="72"/>
      <c r="D707" s="140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41"/>
    </row>
    <row r="708" spans="3:16" x14ac:dyDescent="0.35">
      <c r="C708" s="72"/>
      <c r="D708" s="140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41"/>
    </row>
    <row r="709" spans="3:16" x14ac:dyDescent="0.35">
      <c r="C709" s="72"/>
      <c r="D709" s="140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41"/>
    </row>
    <row r="710" spans="3:16" x14ac:dyDescent="0.35">
      <c r="C710" s="72"/>
      <c r="D710" s="140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41"/>
    </row>
    <row r="711" spans="3:16" x14ac:dyDescent="0.35">
      <c r="C711" s="72"/>
      <c r="D711" s="140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41"/>
    </row>
    <row r="712" spans="3:16" x14ac:dyDescent="0.35">
      <c r="C712" s="72"/>
      <c r="D712" s="140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41"/>
    </row>
    <row r="713" spans="3:16" x14ac:dyDescent="0.35">
      <c r="C713" s="72"/>
      <c r="D713" s="140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41"/>
    </row>
    <row r="714" spans="3:16" x14ac:dyDescent="0.35">
      <c r="C714" s="72"/>
      <c r="D714" s="140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41"/>
    </row>
    <row r="715" spans="3:16" x14ac:dyDescent="0.35">
      <c r="C715" s="72"/>
      <c r="D715" s="140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41"/>
    </row>
    <row r="716" spans="3:16" x14ac:dyDescent="0.35">
      <c r="C716" s="72"/>
      <c r="D716" s="140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41"/>
    </row>
    <row r="717" spans="3:16" x14ac:dyDescent="0.35">
      <c r="C717" s="72"/>
      <c r="D717" s="140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41"/>
    </row>
    <row r="718" spans="3:16" x14ac:dyDescent="0.35">
      <c r="C718" s="72"/>
      <c r="D718" s="140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41"/>
    </row>
    <row r="719" spans="3:16" x14ac:dyDescent="0.35">
      <c r="C719" s="72"/>
      <c r="D719" s="140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41"/>
    </row>
    <row r="720" spans="3:16" x14ac:dyDescent="0.35">
      <c r="C720" s="72"/>
      <c r="D720" s="140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41"/>
    </row>
    <row r="721" spans="3:16" x14ac:dyDescent="0.35">
      <c r="C721" s="72"/>
      <c r="D721" s="140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41"/>
    </row>
    <row r="722" spans="3:16" x14ac:dyDescent="0.35">
      <c r="C722" s="72"/>
      <c r="D722" s="140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41"/>
    </row>
    <row r="723" spans="3:16" x14ac:dyDescent="0.35">
      <c r="C723" s="72"/>
      <c r="D723" s="140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41"/>
    </row>
    <row r="724" spans="3:16" x14ac:dyDescent="0.35">
      <c r="C724" s="72"/>
      <c r="D724" s="140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41"/>
    </row>
    <row r="725" spans="3:16" x14ac:dyDescent="0.35">
      <c r="C725" s="72"/>
      <c r="D725" s="140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41"/>
    </row>
    <row r="726" spans="3:16" x14ac:dyDescent="0.35">
      <c r="C726" s="72"/>
      <c r="D726" s="140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41"/>
    </row>
    <row r="727" spans="3:16" x14ac:dyDescent="0.35">
      <c r="C727" s="72"/>
      <c r="D727" s="140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41"/>
    </row>
    <row r="728" spans="3:16" x14ac:dyDescent="0.35">
      <c r="C728" s="72"/>
      <c r="D728" s="140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41"/>
    </row>
    <row r="729" spans="3:16" x14ac:dyDescent="0.35">
      <c r="C729" s="72"/>
      <c r="D729" s="140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41"/>
    </row>
    <row r="730" spans="3:16" x14ac:dyDescent="0.35">
      <c r="C730" s="72"/>
      <c r="D730" s="140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41"/>
    </row>
    <row r="731" spans="3:16" x14ac:dyDescent="0.35">
      <c r="C731" s="72"/>
      <c r="D731" s="140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41"/>
    </row>
    <row r="732" spans="3:16" x14ac:dyDescent="0.35">
      <c r="C732" s="72"/>
      <c r="D732" s="140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41"/>
    </row>
    <row r="733" spans="3:16" x14ac:dyDescent="0.35">
      <c r="C733" s="72"/>
      <c r="D733" s="140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41"/>
    </row>
    <row r="734" spans="3:16" x14ac:dyDescent="0.35">
      <c r="C734" s="72"/>
      <c r="D734" s="140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41"/>
    </row>
    <row r="735" spans="3:16" x14ac:dyDescent="0.35">
      <c r="C735" s="72"/>
      <c r="D735" s="140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41"/>
    </row>
    <row r="736" spans="3:16" x14ac:dyDescent="0.35">
      <c r="C736" s="72"/>
      <c r="D736" s="140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41"/>
    </row>
    <row r="737" spans="3:16" x14ac:dyDescent="0.35">
      <c r="C737" s="72"/>
      <c r="D737" s="140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41"/>
    </row>
    <row r="738" spans="3:16" x14ac:dyDescent="0.35">
      <c r="C738" s="72"/>
      <c r="D738" s="140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41"/>
    </row>
    <row r="739" spans="3:16" x14ac:dyDescent="0.35">
      <c r="C739" s="140"/>
      <c r="D739" s="140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41"/>
    </row>
    <row r="740" spans="3:16" x14ac:dyDescent="0.35">
      <c r="C740" s="140"/>
      <c r="D740" s="140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41"/>
    </row>
    <row r="741" spans="3:16" x14ac:dyDescent="0.35">
      <c r="C741" s="140"/>
      <c r="D741" s="140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41"/>
    </row>
    <row r="742" spans="3:16" x14ac:dyDescent="0.35">
      <c r="C742" s="140"/>
      <c r="D742" s="140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41"/>
    </row>
    <row r="743" spans="3:16" x14ac:dyDescent="0.35">
      <c r="C743" s="140"/>
      <c r="D743" s="140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41"/>
    </row>
    <row r="744" spans="3:16" x14ac:dyDescent="0.35">
      <c r="C744" s="140"/>
      <c r="D744" s="140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41"/>
    </row>
    <row r="745" spans="3:16" x14ac:dyDescent="0.35">
      <c r="C745" s="140"/>
      <c r="D745" s="140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41"/>
    </row>
    <row r="746" spans="3:16" x14ac:dyDescent="0.35">
      <c r="C746" s="140"/>
      <c r="D746" s="140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41"/>
    </row>
    <row r="747" spans="3:16" x14ac:dyDescent="0.35">
      <c r="C747" s="140"/>
      <c r="D747" s="140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41"/>
    </row>
    <row r="748" spans="3:16" x14ac:dyDescent="0.35">
      <c r="C748" s="140"/>
      <c r="D748" s="140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41"/>
    </row>
    <row r="749" spans="3:16" x14ac:dyDescent="0.35">
      <c r="C749" s="140"/>
      <c r="D749" s="140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41"/>
    </row>
    <row r="750" spans="3:16" x14ac:dyDescent="0.35">
      <c r="C750" s="140"/>
      <c r="D750" s="140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41"/>
    </row>
    <row r="751" spans="3:16" x14ac:dyDescent="0.35">
      <c r="C751" s="140"/>
      <c r="D751" s="140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41"/>
    </row>
    <row r="752" spans="3:16" x14ac:dyDescent="0.35">
      <c r="C752" s="140"/>
      <c r="D752" s="140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41"/>
    </row>
    <row r="753" spans="3:16" x14ac:dyDescent="0.35">
      <c r="C753" s="140"/>
      <c r="D753" s="140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41"/>
    </row>
    <row r="754" spans="3:16" x14ac:dyDescent="0.35">
      <c r="C754" s="140"/>
      <c r="D754" s="140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41"/>
    </row>
    <row r="755" spans="3:16" x14ac:dyDescent="0.35">
      <c r="C755" s="140"/>
      <c r="D755" s="140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41"/>
    </row>
    <row r="756" spans="3:16" x14ac:dyDescent="0.35">
      <c r="C756" s="140"/>
      <c r="D756" s="140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41"/>
    </row>
    <row r="757" spans="3:16" x14ac:dyDescent="0.35">
      <c r="C757" s="140"/>
      <c r="D757" s="140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41"/>
    </row>
    <row r="758" spans="3:16" x14ac:dyDescent="0.35">
      <c r="C758" s="140"/>
      <c r="D758" s="140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41"/>
    </row>
    <row r="759" spans="3:16" x14ac:dyDescent="0.35">
      <c r="C759" s="140"/>
      <c r="D759" s="140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41"/>
    </row>
    <row r="760" spans="3:16" x14ac:dyDescent="0.35">
      <c r="C760" s="140"/>
      <c r="D760" s="140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41"/>
    </row>
    <row r="761" spans="3:16" x14ac:dyDescent="0.35">
      <c r="C761" s="140"/>
      <c r="D761" s="140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41"/>
    </row>
    <row r="762" spans="3:16" x14ac:dyDescent="0.35">
      <c r="C762" s="140"/>
      <c r="D762" s="140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41"/>
    </row>
    <row r="763" spans="3:16" x14ac:dyDescent="0.35">
      <c r="C763" s="140"/>
      <c r="D763" s="140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41"/>
    </row>
    <row r="764" spans="3:16" x14ac:dyDescent="0.35">
      <c r="C764" s="140"/>
      <c r="D764" s="140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41"/>
    </row>
    <row r="765" spans="3:16" x14ac:dyDescent="0.35">
      <c r="C765" s="140"/>
      <c r="D765" s="140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41"/>
    </row>
    <row r="766" spans="3:16" x14ac:dyDescent="0.35">
      <c r="C766" s="140"/>
      <c r="D766" s="140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41"/>
    </row>
    <row r="767" spans="3:16" x14ac:dyDescent="0.35">
      <c r="C767" s="140"/>
      <c r="D767" s="140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41"/>
    </row>
    <row r="768" spans="3:16" x14ac:dyDescent="0.35">
      <c r="C768" s="140"/>
      <c r="D768" s="140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41"/>
    </row>
    <row r="769" spans="3:16" x14ac:dyDescent="0.35">
      <c r="C769" s="140"/>
      <c r="D769" s="140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41"/>
    </row>
    <row r="770" spans="3:16" x14ac:dyDescent="0.35">
      <c r="C770" s="140"/>
      <c r="D770" s="140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41"/>
    </row>
    <row r="771" spans="3:16" x14ac:dyDescent="0.35">
      <c r="C771" s="140"/>
      <c r="D771" s="140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41"/>
    </row>
    <row r="772" spans="3:16" x14ac:dyDescent="0.35">
      <c r="C772" s="140"/>
      <c r="D772" s="140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41"/>
    </row>
    <row r="773" spans="3:16" x14ac:dyDescent="0.35">
      <c r="C773" s="140"/>
      <c r="D773" s="140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41"/>
    </row>
    <row r="774" spans="3:16" x14ac:dyDescent="0.35">
      <c r="C774" s="140"/>
      <c r="D774" s="140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41"/>
    </row>
    <row r="775" spans="3:16" x14ac:dyDescent="0.35">
      <c r="C775" s="140"/>
      <c r="D775" s="140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41"/>
    </row>
    <row r="776" spans="3:16" x14ac:dyDescent="0.35">
      <c r="C776" s="140"/>
      <c r="D776" s="140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41"/>
    </row>
    <row r="777" spans="3:16" x14ac:dyDescent="0.35">
      <c r="C777" s="140"/>
      <c r="D777" s="140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41"/>
    </row>
    <row r="778" spans="3:16" x14ac:dyDescent="0.35">
      <c r="C778" s="140"/>
      <c r="D778" s="140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41"/>
    </row>
    <row r="779" spans="3:16" x14ac:dyDescent="0.35">
      <c r="C779" s="140"/>
      <c r="D779" s="140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41"/>
    </row>
    <row r="780" spans="3:16" x14ac:dyDescent="0.35">
      <c r="C780" s="140"/>
      <c r="D780" s="140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41"/>
    </row>
    <row r="781" spans="3:16" x14ac:dyDescent="0.35">
      <c r="C781" s="140"/>
      <c r="D781" s="140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41"/>
    </row>
    <row r="782" spans="3:16" x14ac:dyDescent="0.35">
      <c r="C782" s="140"/>
      <c r="D782" s="140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41"/>
    </row>
    <row r="783" spans="3:16" x14ac:dyDescent="0.35">
      <c r="C783" s="140"/>
      <c r="D783" s="140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41"/>
    </row>
    <row r="784" spans="3:16" x14ac:dyDescent="0.35">
      <c r="C784" s="140"/>
      <c r="D784" s="140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41"/>
    </row>
    <row r="785" spans="3:16" x14ac:dyDescent="0.35">
      <c r="C785" s="140"/>
      <c r="D785" s="140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41"/>
    </row>
    <row r="786" spans="3:16" x14ac:dyDescent="0.35">
      <c r="C786" s="140"/>
      <c r="D786" s="140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41"/>
    </row>
    <row r="787" spans="3:16" x14ac:dyDescent="0.35">
      <c r="C787" s="140"/>
      <c r="D787" s="140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41"/>
    </row>
    <row r="788" spans="3:16" x14ac:dyDescent="0.35">
      <c r="C788" s="140"/>
      <c r="D788" s="140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41"/>
    </row>
    <row r="789" spans="3:16" x14ac:dyDescent="0.35">
      <c r="C789" s="140"/>
      <c r="D789" s="140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41"/>
    </row>
    <row r="790" spans="3:16" x14ac:dyDescent="0.35">
      <c r="C790" s="140"/>
      <c r="D790" s="140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41"/>
    </row>
    <row r="791" spans="3:16" x14ac:dyDescent="0.35">
      <c r="C791" s="140"/>
      <c r="D791" s="140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41"/>
    </row>
    <row r="792" spans="3:16" x14ac:dyDescent="0.35">
      <c r="C792" s="140"/>
      <c r="D792" s="140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41"/>
    </row>
    <row r="793" spans="3:16" x14ac:dyDescent="0.35">
      <c r="C793" s="140"/>
      <c r="D793" s="140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41"/>
    </row>
    <row r="794" spans="3:16" x14ac:dyDescent="0.35">
      <c r="C794" s="140"/>
      <c r="D794" s="140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41"/>
    </row>
    <row r="795" spans="3:16" x14ac:dyDescent="0.35">
      <c r="C795" s="140"/>
      <c r="D795" s="140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41"/>
    </row>
    <row r="796" spans="3:16" x14ac:dyDescent="0.35">
      <c r="C796" s="140"/>
      <c r="D796" s="140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41"/>
    </row>
    <row r="797" spans="3:16" x14ac:dyDescent="0.35">
      <c r="C797" s="140"/>
      <c r="D797" s="140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41"/>
    </row>
    <row r="798" spans="3:16" x14ac:dyDescent="0.35">
      <c r="C798" s="140"/>
      <c r="D798" s="140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41"/>
    </row>
    <row r="799" spans="3:16" x14ac:dyDescent="0.35">
      <c r="C799" s="140"/>
      <c r="D799" s="140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41"/>
    </row>
    <row r="800" spans="3:16" x14ac:dyDescent="0.35">
      <c r="C800" s="140"/>
      <c r="D800" s="140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41"/>
    </row>
    <row r="801" spans="3:16" x14ac:dyDescent="0.35">
      <c r="C801" s="140"/>
      <c r="D801" s="140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41"/>
    </row>
    <row r="802" spans="3:16" x14ac:dyDescent="0.35">
      <c r="C802" s="140"/>
      <c r="D802" s="140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41"/>
    </row>
    <row r="803" spans="3:16" x14ac:dyDescent="0.35">
      <c r="C803" s="140"/>
      <c r="D803" s="140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41"/>
    </row>
    <row r="804" spans="3:16" x14ac:dyDescent="0.35">
      <c r="C804" s="140"/>
      <c r="D804" s="140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41"/>
    </row>
    <row r="805" spans="3:16" x14ac:dyDescent="0.35">
      <c r="C805" s="140"/>
      <c r="D805" s="140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41"/>
    </row>
    <row r="806" spans="3:16" x14ac:dyDescent="0.35">
      <c r="C806" s="140"/>
      <c r="D806" s="140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41"/>
    </row>
    <row r="807" spans="3:16" x14ac:dyDescent="0.35">
      <c r="C807" s="140"/>
      <c r="D807" s="140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41"/>
    </row>
    <row r="808" spans="3:16" x14ac:dyDescent="0.35">
      <c r="C808" s="140"/>
      <c r="D808" s="140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41"/>
    </row>
    <row r="809" spans="3:16" x14ac:dyDescent="0.35">
      <c r="C809" s="140"/>
      <c r="D809" s="140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41"/>
    </row>
    <row r="810" spans="3:16" x14ac:dyDescent="0.35">
      <c r="C810" s="140"/>
      <c r="D810" s="140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41"/>
    </row>
    <row r="811" spans="3:16" x14ac:dyDescent="0.35">
      <c r="C811" s="140"/>
      <c r="D811" s="140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41"/>
    </row>
    <row r="812" spans="3:16" x14ac:dyDescent="0.35">
      <c r="C812" s="140"/>
      <c r="D812" s="140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41"/>
    </row>
    <row r="813" spans="3:16" x14ac:dyDescent="0.35">
      <c r="C813" s="140"/>
      <c r="D813" s="140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41"/>
    </row>
    <row r="814" spans="3:16" x14ac:dyDescent="0.35">
      <c r="C814" s="140"/>
      <c r="D814" s="140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41"/>
    </row>
    <row r="815" spans="3:16" x14ac:dyDescent="0.35">
      <c r="C815" s="140"/>
      <c r="D815" s="140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41"/>
    </row>
    <row r="816" spans="3:16" x14ac:dyDescent="0.35">
      <c r="C816" s="140"/>
      <c r="D816" s="140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41"/>
    </row>
    <row r="817" spans="3:16" x14ac:dyDescent="0.35">
      <c r="C817" s="140"/>
      <c r="D817" s="140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41"/>
    </row>
    <row r="818" spans="3:16" x14ac:dyDescent="0.35">
      <c r="C818" s="140"/>
      <c r="D818" s="140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41"/>
    </row>
    <row r="819" spans="3:16" x14ac:dyDescent="0.35">
      <c r="C819" s="140"/>
      <c r="D819" s="140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41"/>
    </row>
    <row r="820" spans="3:16" x14ac:dyDescent="0.35">
      <c r="C820" s="140"/>
      <c r="D820" s="140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41"/>
    </row>
    <row r="821" spans="3:16" x14ac:dyDescent="0.35">
      <c r="C821" s="140"/>
      <c r="D821" s="140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41"/>
    </row>
    <row r="822" spans="3:16" x14ac:dyDescent="0.35">
      <c r="C822" s="140"/>
      <c r="D822" s="140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41"/>
    </row>
    <row r="823" spans="3:16" x14ac:dyDescent="0.35">
      <c r="C823" s="140"/>
      <c r="D823" s="140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41"/>
    </row>
    <row r="824" spans="3:16" x14ac:dyDescent="0.35">
      <c r="C824" s="140"/>
      <c r="D824" s="140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41"/>
    </row>
    <row r="825" spans="3:16" x14ac:dyDescent="0.35">
      <c r="C825" s="140"/>
      <c r="D825" s="140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41"/>
    </row>
    <row r="826" spans="3:16" x14ac:dyDescent="0.35">
      <c r="C826" s="140"/>
      <c r="D826" s="140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41"/>
    </row>
    <row r="827" spans="3:16" x14ac:dyDescent="0.35">
      <c r="C827" s="140"/>
      <c r="D827" s="140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41"/>
    </row>
    <row r="828" spans="3:16" x14ac:dyDescent="0.35">
      <c r="C828" s="140"/>
      <c r="D828" s="140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41"/>
    </row>
    <row r="829" spans="3:16" x14ac:dyDescent="0.35">
      <c r="C829" s="140"/>
      <c r="D829" s="140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41"/>
    </row>
    <row r="830" spans="3:16" x14ac:dyDescent="0.35">
      <c r="C830" s="140"/>
      <c r="D830" s="140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41"/>
    </row>
    <row r="831" spans="3:16" x14ac:dyDescent="0.35">
      <c r="C831" s="140"/>
      <c r="D831" s="140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41"/>
    </row>
    <row r="832" spans="3:16" x14ac:dyDescent="0.35">
      <c r="C832" s="140"/>
      <c r="D832" s="140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41"/>
    </row>
    <row r="833" spans="3:16" x14ac:dyDescent="0.35">
      <c r="C833" s="140"/>
      <c r="D833" s="140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41"/>
    </row>
    <row r="834" spans="3:16" x14ac:dyDescent="0.35">
      <c r="C834" s="140"/>
      <c r="D834" s="140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41"/>
    </row>
    <row r="835" spans="3:16" x14ac:dyDescent="0.35">
      <c r="C835" s="140"/>
      <c r="D835" s="140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41"/>
    </row>
    <row r="836" spans="3:16" x14ac:dyDescent="0.35">
      <c r="C836" s="140"/>
      <c r="D836" s="140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41"/>
    </row>
    <row r="837" spans="3:16" x14ac:dyDescent="0.35">
      <c r="C837" s="140"/>
      <c r="D837" s="140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41"/>
    </row>
    <row r="838" spans="3:16" x14ac:dyDescent="0.35">
      <c r="C838" s="140"/>
      <c r="D838" s="140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41"/>
    </row>
    <row r="839" spans="3:16" x14ac:dyDescent="0.35">
      <c r="C839" s="140"/>
      <c r="D839" s="140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41"/>
    </row>
    <row r="840" spans="3:16" x14ac:dyDescent="0.35">
      <c r="C840" s="140"/>
      <c r="D840" s="140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41"/>
    </row>
    <row r="841" spans="3:16" x14ac:dyDescent="0.35">
      <c r="C841" s="140"/>
      <c r="D841" s="140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41"/>
    </row>
    <row r="842" spans="3:16" x14ac:dyDescent="0.35">
      <c r="C842" s="140"/>
      <c r="D842" s="140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41"/>
    </row>
    <row r="843" spans="3:16" x14ac:dyDescent="0.35">
      <c r="C843" s="140"/>
      <c r="D843" s="140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41"/>
    </row>
    <row r="844" spans="3:16" x14ac:dyDescent="0.35">
      <c r="C844" s="140"/>
      <c r="D844" s="140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41"/>
    </row>
    <row r="845" spans="3:16" x14ac:dyDescent="0.35">
      <c r="C845" s="140"/>
      <c r="D845" s="140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41"/>
    </row>
    <row r="846" spans="3:16" x14ac:dyDescent="0.35">
      <c r="C846" s="140"/>
      <c r="D846" s="140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41"/>
    </row>
    <row r="847" spans="3:16" x14ac:dyDescent="0.35">
      <c r="C847" s="140"/>
      <c r="D847" s="140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41"/>
    </row>
    <row r="848" spans="3:16" x14ac:dyDescent="0.35">
      <c r="C848" s="140"/>
      <c r="D848" s="140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41"/>
    </row>
    <row r="849" spans="3:16" x14ac:dyDescent="0.35">
      <c r="C849" s="140"/>
      <c r="D849" s="140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41"/>
    </row>
    <row r="850" spans="3:16" x14ac:dyDescent="0.35">
      <c r="C850" s="140"/>
      <c r="D850" s="140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41"/>
    </row>
    <row r="851" spans="3:16" x14ac:dyDescent="0.35">
      <c r="C851" s="140"/>
      <c r="D851" s="140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41"/>
    </row>
    <row r="852" spans="3:16" x14ac:dyDescent="0.35">
      <c r="C852" s="140"/>
      <c r="D852" s="140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41"/>
    </row>
    <row r="853" spans="3:16" x14ac:dyDescent="0.35">
      <c r="C853" s="140"/>
      <c r="D853" s="140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41"/>
    </row>
    <row r="854" spans="3:16" x14ac:dyDescent="0.35">
      <c r="C854" s="140"/>
      <c r="D854" s="140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41"/>
    </row>
    <row r="855" spans="3:16" x14ac:dyDescent="0.35">
      <c r="C855" s="140"/>
      <c r="D855" s="140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41"/>
    </row>
    <row r="856" spans="3:16" x14ac:dyDescent="0.35">
      <c r="C856" s="140"/>
      <c r="D856" s="140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41"/>
    </row>
    <row r="857" spans="3:16" x14ac:dyDescent="0.35">
      <c r="C857" s="140"/>
      <c r="D857" s="140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41"/>
    </row>
    <row r="858" spans="3:16" x14ac:dyDescent="0.35">
      <c r="C858" s="140"/>
      <c r="D858" s="140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41"/>
    </row>
    <row r="859" spans="3:16" x14ac:dyDescent="0.35">
      <c r="C859" s="140"/>
      <c r="D859" s="140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41"/>
    </row>
    <row r="860" spans="3:16" x14ac:dyDescent="0.35">
      <c r="C860" s="140"/>
      <c r="D860" s="140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41"/>
    </row>
    <row r="861" spans="3:16" x14ac:dyDescent="0.35">
      <c r="C861" s="140"/>
      <c r="D861" s="140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41"/>
    </row>
    <row r="862" spans="3:16" x14ac:dyDescent="0.35">
      <c r="C862" s="140"/>
      <c r="D862" s="140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41"/>
    </row>
    <row r="863" spans="3:16" x14ac:dyDescent="0.35">
      <c r="C863" s="140"/>
      <c r="D863" s="140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41"/>
    </row>
    <row r="864" spans="3:16" x14ac:dyDescent="0.35">
      <c r="C864" s="140"/>
      <c r="D864" s="140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41"/>
    </row>
    <row r="865" spans="3:16" x14ac:dyDescent="0.35">
      <c r="C865" s="140"/>
      <c r="D865" s="140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41"/>
    </row>
    <row r="866" spans="3:16" x14ac:dyDescent="0.35">
      <c r="C866" s="140"/>
      <c r="D866" s="140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41"/>
    </row>
    <row r="867" spans="3:16" x14ac:dyDescent="0.35">
      <c r="C867" s="140"/>
      <c r="D867" s="140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41"/>
    </row>
    <row r="868" spans="3:16" x14ac:dyDescent="0.35">
      <c r="C868" s="140"/>
      <c r="D868" s="140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41"/>
    </row>
    <row r="869" spans="3:16" x14ac:dyDescent="0.35">
      <c r="C869" s="140"/>
      <c r="D869" s="140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41"/>
    </row>
    <row r="870" spans="3:16" x14ac:dyDescent="0.35">
      <c r="C870" s="140"/>
      <c r="D870" s="140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41"/>
    </row>
    <row r="871" spans="3:16" x14ac:dyDescent="0.35">
      <c r="C871" s="140"/>
      <c r="D871" s="140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41"/>
    </row>
    <row r="872" spans="3:16" x14ac:dyDescent="0.35">
      <c r="C872" s="140"/>
      <c r="D872" s="140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41"/>
    </row>
    <row r="873" spans="3:16" x14ac:dyDescent="0.35">
      <c r="C873" s="140"/>
      <c r="D873" s="140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41"/>
    </row>
    <row r="874" spans="3:16" x14ac:dyDescent="0.35">
      <c r="C874" s="140"/>
      <c r="D874" s="140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41"/>
    </row>
    <row r="875" spans="3:16" x14ac:dyDescent="0.35">
      <c r="C875" s="140"/>
      <c r="D875" s="140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41"/>
    </row>
    <row r="876" spans="3:16" x14ac:dyDescent="0.35">
      <c r="C876" s="140"/>
      <c r="D876" s="140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41"/>
    </row>
    <row r="877" spans="3:16" x14ac:dyDescent="0.35">
      <c r="C877" s="140"/>
      <c r="D877" s="140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41"/>
    </row>
    <row r="878" spans="3:16" x14ac:dyDescent="0.35">
      <c r="C878" s="140"/>
      <c r="D878" s="140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41"/>
    </row>
    <row r="879" spans="3:16" x14ac:dyDescent="0.35">
      <c r="C879" s="140"/>
      <c r="D879" s="140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41"/>
    </row>
    <row r="880" spans="3:16" x14ac:dyDescent="0.35">
      <c r="C880" s="140"/>
      <c r="D880" s="140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41"/>
    </row>
    <row r="881" spans="3:16" x14ac:dyDescent="0.35">
      <c r="C881" s="140"/>
      <c r="D881" s="140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41"/>
    </row>
    <row r="882" spans="3:16" x14ac:dyDescent="0.35">
      <c r="C882" s="140"/>
      <c r="D882" s="140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41"/>
    </row>
    <row r="883" spans="3:16" x14ac:dyDescent="0.35">
      <c r="C883" s="140"/>
      <c r="D883" s="140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41"/>
    </row>
    <row r="884" spans="3:16" x14ac:dyDescent="0.35">
      <c r="C884" s="140"/>
      <c r="D884" s="140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41"/>
    </row>
    <row r="885" spans="3:16" x14ac:dyDescent="0.35">
      <c r="C885" s="140"/>
      <c r="D885" s="140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41"/>
    </row>
    <row r="886" spans="3:16" x14ac:dyDescent="0.35">
      <c r="C886" s="140"/>
      <c r="D886" s="140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41"/>
    </row>
    <row r="887" spans="3:16" x14ac:dyDescent="0.35">
      <c r="C887" s="140"/>
      <c r="D887" s="140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41"/>
    </row>
    <row r="888" spans="3:16" x14ac:dyDescent="0.35">
      <c r="C888" s="140"/>
      <c r="D888" s="140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41"/>
    </row>
    <row r="889" spans="3:16" x14ac:dyDescent="0.35">
      <c r="C889" s="140"/>
      <c r="D889" s="140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41"/>
    </row>
    <row r="890" spans="3:16" x14ac:dyDescent="0.35">
      <c r="C890" s="140"/>
      <c r="D890" s="140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41"/>
    </row>
    <row r="891" spans="3:16" x14ac:dyDescent="0.35">
      <c r="C891" s="140"/>
      <c r="D891" s="140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41"/>
    </row>
    <row r="892" spans="3:16" x14ac:dyDescent="0.35">
      <c r="C892" s="140"/>
      <c r="D892" s="140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41"/>
    </row>
    <row r="893" spans="3:16" x14ac:dyDescent="0.35">
      <c r="C893" s="140"/>
      <c r="D893" s="140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41"/>
    </row>
    <row r="894" spans="3:16" x14ac:dyDescent="0.35">
      <c r="C894" s="140"/>
      <c r="D894" s="140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41"/>
    </row>
    <row r="895" spans="3:16" x14ac:dyDescent="0.35">
      <c r="C895" s="140"/>
      <c r="D895" s="140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41"/>
    </row>
    <row r="896" spans="3:16" x14ac:dyDescent="0.35">
      <c r="C896" s="140"/>
      <c r="D896" s="140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41"/>
    </row>
    <row r="897" spans="3:16" x14ac:dyDescent="0.35">
      <c r="C897" s="140"/>
      <c r="D897" s="140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41"/>
    </row>
    <row r="898" spans="3:16" x14ac:dyDescent="0.35">
      <c r="C898" s="140"/>
      <c r="D898" s="140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41"/>
    </row>
    <row r="899" spans="3:16" x14ac:dyDescent="0.35">
      <c r="C899" s="140"/>
      <c r="D899" s="140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41"/>
    </row>
    <row r="900" spans="3:16" x14ac:dyDescent="0.35">
      <c r="C900" s="140"/>
      <c r="D900" s="140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41"/>
    </row>
    <row r="901" spans="3:16" x14ac:dyDescent="0.35">
      <c r="C901" s="140"/>
      <c r="D901" s="140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41"/>
    </row>
    <row r="902" spans="3:16" x14ac:dyDescent="0.35">
      <c r="C902" s="140"/>
      <c r="D902" s="140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41"/>
    </row>
    <row r="903" spans="3:16" x14ac:dyDescent="0.35">
      <c r="C903" s="140"/>
      <c r="D903" s="140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41"/>
    </row>
    <row r="904" spans="3:16" x14ac:dyDescent="0.35">
      <c r="C904" s="140"/>
      <c r="D904" s="140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41"/>
    </row>
    <row r="905" spans="3:16" x14ac:dyDescent="0.35">
      <c r="C905" s="140"/>
      <c r="D905" s="140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41"/>
    </row>
    <row r="906" spans="3:16" x14ac:dyDescent="0.35">
      <c r="C906" s="140"/>
      <c r="D906" s="140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41"/>
    </row>
    <row r="907" spans="3:16" x14ac:dyDescent="0.35">
      <c r="C907" s="140"/>
      <c r="D907" s="140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41"/>
    </row>
    <row r="908" spans="3:16" x14ac:dyDescent="0.35">
      <c r="C908" s="140"/>
      <c r="D908" s="140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41"/>
    </row>
    <row r="909" spans="3:16" x14ac:dyDescent="0.35">
      <c r="C909" s="140"/>
      <c r="D909" s="140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41"/>
    </row>
    <row r="910" spans="3:16" x14ac:dyDescent="0.35">
      <c r="C910" s="140"/>
      <c r="D910" s="140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41"/>
    </row>
    <row r="911" spans="3:16" x14ac:dyDescent="0.35">
      <c r="C911" s="140"/>
      <c r="D911" s="140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41"/>
    </row>
    <row r="912" spans="3:16" x14ac:dyDescent="0.35">
      <c r="C912" s="140"/>
      <c r="D912" s="140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41"/>
    </row>
    <row r="913" spans="3:16" x14ac:dyDescent="0.35">
      <c r="C913" s="140"/>
      <c r="D913" s="140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41"/>
    </row>
    <row r="914" spans="3:16" x14ac:dyDescent="0.35">
      <c r="C914" s="140"/>
      <c r="D914" s="140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41"/>
    </row>
    <row r="915" spans="3:16" x14ac:dyDescent="0.35">
      <c r="C915" s="140"/>
      <c r="D915" s="140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41"/>
    </row>
    <row r="916" spans="3:16" x14ac:dyDescent="0.35">
      <c r="C916" s="140"/>
      <c r="D916" s="140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41"/>
    </row>
    <row r="917" spans="3:16" x14ac:dyDescent="0.35">
      <c r="C917" s="140"/>
      <c r="D917" s="140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41"/>
    </row>
    <row r="918" spans="3:16" x14ac:dyDescent="0.35">
      <c r="C918" s="140"/>
      <c r="D918" s="140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41"/>
    </row>
    <row r="919" spans="3:16" x14ac:dyDescent="0.35">
      <c r="C919" s="140"/>
      <c r="D919" s="140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41"/>
    </row>
    <row r="920" spans="3:16" x14ac:dyDescent="0.35">
      <c r="C920" s="140"/>
      <c r="D920" s="140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41"/>
    </row>
    <row r="921" spans="3:16" x14ac:dyDescent="0.35">
      <c r="C921" s="140"/>
      <c r="D921" s="140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41"/>
    </row>
    <row r="922" spans="3:16" x14ac:dyDescent="0.35">
      <c r="C922" s="140"/>
      <c r="D922" s="140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41"/>
    </row>
    <row r="923" spans="3:16" x14ac:dyDescent="0.35">
      <c r="C923" s="140"/>
      <c r="D923" s="140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41"/>
    </row>
    <row r="924" spans="3:16" x14ac:dyDescent="0.35">
      <c r="C924" s="140"/>
      <c r="D924" s="140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41"/>
    </row>
    <row r="925" spans="3:16" x14ac:dyDescent="0.35">
      <c r="C925" s="140"/>
      <c r="D925" s="140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41"/>
    </row>
    <row r="926" spans="3:16" x14ac:dyDescent="0.35">
      <c r="C926" s="140"/>
      <c r="D926" s="140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41"/>
    </row>
    <row r="927" spans="3:16" x14ac:dyDescent="0.35">
      <c r="C927" s="140"/>
      <c r="D927" s="140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41"/>
    </row>
    <row r="928" spans="3:16" x14ac:dyDescent="0.35">
      <c r="C928" s="140"/>
      <c r="D928" s="140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41"/>
    </row>
    <row r="929" spans="3:16" x14ac:dyDescent="0.35">
      <c r="C929" s="140"/>
      <c r="D929" s="140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41"/>
    </row>
    <row r="930" spans="3:16" x14ac:dyDescent="0.35">
      <c r="C930" s="140"/>
      <c r="D930" s="140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41"/>
    </row>
    <row r="931" spans="3:16" x14ac:dyDescent="0.35">
      <c r="C931" s="140"/>
      <c r="D931" s="140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41"/>
    </row>
    <row r="932" spans="3:16" x14ac:dyDescent="0.35">
      <c r="C932" s="140"/>
      <c r="D932" s="140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41"/>
    </row>
    <row r="933" spans="3:16" x14ac:dyDescent="0.35">
      <c r="C933" s="140"/>
      <c r="D933" s="140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41"/>
    </row>
    <row r="934" spans="3:16" x14ac:dyDescent="0.35">
      <c r="C934" s="140"/>
      <c r="D934" s="140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41"/>
    </row>
    <row r="935" spans="3:16" x14ac:dyDescent="0.35">
      <c r="C935" s="140"/>
      <c r="D935" s="140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41"/>
    </row>
    <row r="936" spans="3:16" x14ac:dyDescent="0.35">
      <c r="C936" s="140"/>
      <c r="D936" s="140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41"/>
    </row>
    <row r="937" spans="3:16" x14ac:dyDescent="0.35">
      <c r="C937" s="140"/>
      <c r="D937" s="140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41"/>
    </row>
    <row r="938" spans="3:16" x14ac:dyDescent="0.35">
      <c r="C938" s="140"/>
      <c r="D938" s="140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41"/>
    </row>
    <row r="939" spans="3:16" x14ac:dyDescent="0.35">
      <c r="C939" s="140"/>
      <c r="D939" s="140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41"/>
    </row>
    <row r="940" spans="3:16" x14ac:dyDescent="0.35">
      <c r="C940" s="140"/>
      <c r="D940" s="140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41"/>
    </row>
    <row r="941" spans="3:16" x14ac:dyDescent="0.35">
      <c r="C941" s="140"/>
      <c r="D941" s="140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41"/>
    </row>
    <row r="942" spans="3:16" x14ac:dyDescent="0.35">
      <c r="C942" s="140"/>
      <c r="D942" s="140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41"/>
    </row>
    <row r="943" spans="3:16" x14ac:dyDescent="0.35">
      <c r="C943" s="140"/>
      <c r="D943" s="140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41"/>
    </row>
    <row r="944" spans="3:16" x14ac:dyDescent="0.35">
      <c r="C944" s="140"/>
      <c r="D944" s="140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41"/>
    </row>
    <row r="945" spans="3:16" x14ac:dyDescent="0.35">
      <c r="C945" s="140"/>
      <c r="D945" s="140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41"/>
    </row>
    <row r="946" spans="3:16" x14ac:dyDescent="0.35">
      <c r="C946" s="140"/>
      <c r="D946" s="140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41"/>
    </row>
    <row r="947" spans="3:16" x14ac:dyDescent="0.35">
      <c r="C947" s="140"/>
      <c r="D947" s="140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41"/>
    </row>
    <row r="948" spans="3:16" x14ac:dyDescent="0.35">
      <c r="C948" s="140"/>
      <c r="D948" s="140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41"/>
    </row>
    <row r="949" spans="3:16" x14ac:dyDescent="0.35">
      <c r="C949" s="140"/>
      <c r="D949" s="140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41"/>
    </row>
    <row r="950" spans="3:16" x14ac:dyDescent="0.35">
      <c r="C950" s="140"/>
      <c r="D950" s="140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41"/>
    </row>
    <row r="951" spans="3:16" x14ac:dyDescent="0.35">
      <c r="C951" s="140"/>
      <c r="D951" s="140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41"/>
    </row>
    <row r="952" spans="3:16" x14ac:dyDescent="0.35">
      <c r="C952" s="140"/>
      <c r="D952" s="140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41"/>
    </row>
    <row r="953" spans="3:16" x14ac:dyDescent="0.35">
      <c r="C953" s="140"/>
      <c r="D953" s="140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41"/>
    </row>
    <row r="954" spans="3:16" x14ac:dyDescent="0.35">
      <c r="C954" s="140"/>
      <c r="D954" s="140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41"/>
    </row>
    <row r="955" spans="3:16" x14ac:dyDescent="0.35">
      <c r="C955" s="140"/>
      <c r="D955" s="140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41"/>
    </row>
    <row r="956" spans="3:16" x14ac:dyDescent="0.35">
      <c r="C956" s="140"/>
      <c r="D956" s="140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41"/>
    </row>
    <row r="957" spans="3:16" x14ac:dyDescent="0.35">
      <c r="C957" s="140"/>
      <c r="D957" s="140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41"/>
    </row>
    <row r="958" spans="3:16" x14ac:dyDescent="0.35">
      <c r="C958" s="140"/>
      <c r="D958" s="140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41"/>
    </row>
    <row r="959" spans="3:16" x14ac:dyDescent="0.35">
      <c r="C959" s="140"/>
      <c r="D959" s="140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41"/>
    </row>
    <row r="960" spans="3:16" x14ac:dyDescent="0.35">
      <c r="C960" s="140"/>
      <c r="D960" s="140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41"/>
    </row>
    <row r="961" spans="3:16" x14ac:dyDescent="0.35">
      <c r="C961" s="140"/>
      <c r="D961" s="140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41"/>
    </row>
    <row r="962" spans="3:16" x14ac:dyDescent="0.35">
      <c r="C962" s="140"/>
      <c r="D962" s="140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41"/>
    </row>
    <row r="963" spans="3:16" x14ac:dyDescent="0.35">
      <c r="C963" s="140"/>
      <c r="D963" s="140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41"/>
    </row>
    <row r="964" spans="3:16" x14ac:dyDescent="0.35">
      <c r="C964" s="140"/>
      <c r="D964" s="140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41"/>
    </row>
    <row r="965" spans="3:16" x14ac:dyDescent="0.35">
      <c r="C965" s="140"/>
      <c r="D965" s="140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41"/>
    </row>
    <row r="966" spans="3:16" x14ac:dyDescent="0.35">
      <c r="C966" s="140"/>
      <c r="D966" s="140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41"/>
    </row>
    <row r="967" spans="3:16" x14ac:dyDescent="0.35">
      <c r="C967" s="140"/>
      <c r="D967" s="140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41"/>
    </row>
    <row r="968" spans="3:16" x14ac:dyDescent="0.35">
      <c r="C968" s="140"/>
      <c r="D968" s="140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41"/>
    </row>
    <row r="969" spans="3:16" x14ac:dyDescent="0.35">
      <c r="C969" s="140"/>
      <c r="D969" s="140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41"/>
    </row>
    <row r="970" spans="3:16" x14ac:dyDescent="0.35">
      <c r="C970" s="140"/>
      <c r="D970" s="140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41"/>
    </row>
    <row r="971" spans="3:16" x14ac:dyDescent="0.35">
      <c r="C971" s="140"/>
      <c r="D971" s="140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41"/>
    </row>
    <row r="972" spans="3:16" x14ac:dyDescent="0.35">
      <c r="C972" s="140"/>
      <c r="D972" s="140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41"/>
    </row>
    <row r="973" spans="3:16" x14ac:dyDescent="0.35">
      <c r="C973" s="140"/>
      <c r="D973" s="140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41"/>
    </row>
    <row r="974" spans="3:16" x14ac:dyDescent="0.35">
      <c r="C974" s="140"/>
      <c r="D974" s="140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41"/>
    </row>
    <row r="975" spans="3:16" x14ac:dyDescent="0.35">
      <c r="C975" s="140"/>
      <c r="D975" s="140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41"/>
    </row>
    <row r="976" spans="3:16" x14ac:dyDescent="0.35">
      <c r="C976" s="140"/>
      <c r="D976" s="140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41"/>
    </row>
    <row r="977" spans="3:16" x14ac:dyDescent="0.35">
      <c r="C977" s="140"/>
      <c r="D977" s="140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41"/>
    </row>
    <row r="978" spans="3:16" x14ac:dyDescent="0.35">
      <c r="C978" s="140"/>
      <c r="D978" s="140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41"/>
    </row>
    <row r="979" spans="3:16" x14ac:dyDescent="0.35">
      <c r="C979" s="140"/>
      <c r="D979" s="140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41"/>
    </row>
    <row r="980" spans="3:16" x14ac:dyDescent="0.35">
      <c r="C980" s="140"/>
      <c r="D980" s="140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41"/>
    </row>
    <row r="981" spans="3:16" x14ac:dyDescent="0.35">
      <c r="C981" s="140"/>
      <c r="D981" s="140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41"/>
    </row>
    <row r="982" spans="3:16" x14ac:dyDescent="0.35">
      <c r="C982" s="140"/>
      <c r="D982" s="140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41"/>
    </row>
    <row r="983" spans="3:16" x14ac:dyDescent="0.35">
      <c r="C983" s="140"/>
      <c r="D983" s="140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41"/>
    </row>
    <row r="984" spans="3:16" x14ac:dyDescent="0.35">
      <c r="C984" s="140"/>
      <c r="D984" s="140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41"/>
    </row>
    <row r="985" spans="3:16" x14ac:dyDescent="0.35">
      <c r="C985" s="140"/>
      <c r="D985" s="140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41"/>
    </row>
    <row r="986" spans="3:16" x14ac:dyDescent="0.35">
      <c r="C986" s="140"/>
      <c r="D986" s="140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41"/>
    </row>
    <row r="987" spans="3:16" x14ac:dyDescent="0.35">
      <c r="C987" s="140"/>
      <c r="D987" s="140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41"/>
    </row>
    <row r="988" spans="3:16" x14ac:dyDescent="0.35">
      <c r="C988" s="140"/>
      <c r="D988" s="140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41"/>
    </row>
    <row r="989" spans="3:16" x14ac:dyDescent="0.35">
      <c r="C989" s="140"/>
      <c r="D989" s="140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41"/>
    </row>
    <row r="990" spans="3:16" x14ac:dyDescent="0.35">
      <c r="C990" s="140"/>
      <c r="D990" s="140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41"/>
    </row>
    <row r="991" spans="3:16" x14ac:dyDescent="0.35">
      <c r="C991" s="140"/>
      <c r="D991" s="140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41"/>
    </row>
    <row r="992" spans="3:16" x14ac:dyDescent="0.35">
      <c r="C992" s="140"/>
      <c r="D992" s="140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41"/>
    </row>
    <row r="993" spans="3:16" x14ac:dyDescent="0.35">
      <c r="C993" s="140"/>
      <c r="D993" s="140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41"/>
    </row>
    <row r="994" spans="3:16" x14ac:dyDescent="0.35">
      <c r="C994" s="140"/>
      <c r="D994" s="140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41"/>
    </row>
    <row r="995" spans="3:16" x14ac:dyDescent="0.35">
      <c r="C995" s="140"/>
      <c r="D995" s="140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41"/>
    </row>
    <row r="996" spans="3:16" x14ac:dyDescent="0.35">
      <c r="C996" s="140"/>
      <c r="D996" s="140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41"/>
    </row>
    <row r="997" spans="3:16" x14ac:dyDescent="0.35">
      <c r="C997" s="140"/>
      <c r="D997" s="140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41"/>
    </row>
    <row r="998" spans="3:16" x14ac:dyDescent="0.35">
      <c r="C998" s="140"/>
      <c r="D998" s="140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41"/>
    </row>
    <row r="999" spans="3:16" x14ac:dyDescent="0.35">
      <c r="C999" s="140"/>
      <c r="D999" s="140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41"/>
    </row>
    <row r="1000" spans="3:16" x14ac:dyDescent="0.35">
      <c r="C1000" s="140"/>
      <c r="D1000" s="140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41"/>
    </row>
    <row r="1001" spans="3:16" x14ac:dyDescent="0.35">
      <c r="C1001" s="140"/>
      <c r="D1001" s="140"/>
      <c r="E1001" s="113"/>
      <c r="F1001" s="113"/>
      <c r="G1001" s="113"/>
      <c r="H1001" s="113"/>
      <c r="I1001" s="113"/>
      <c r="J1001" s="113"/>
      <c r="K1001" s="113"/>
      <c r="L1001" s="113"/>
      <c r="M1001" s="113"/>
      <c r="N1001" s="113"/>
      <c r="O1001" s="113"/>
      <c r="P1001" s="141"/>
    </row>
    <row r="1002" spans="3:16" x14ac:dyDescent="0.35">
      <c r="C1002" s="140"/>
      <c r="D1002" s="140"/>
      <c r="E1002" s="113"/>
      <c r="F1002" s="113"/>
      <c r="G1002" s="113"/>
      <c r="H1002" s="113"/>
      <c r="I1002" s="113"/>
      <c r="J1002" s="113"/>
      <c r="K1002" s="113"/>
      <c r="L1002" s="113"/>
      <c r="M1002" s="113"/>
      <c r="N1002" s="113"/>
      <c r="O1002" s="113"/>
      <c r="P1002" s="141"/>
    </row>
    <row r="1003" spans="3:16" x14ac:dyDescent="0.35">
      <c r="C1003" s="140"/>
      <c r="D1003" s="140"/>
      <c r="E1003" s="113"/>
      <c r="F1003" s="113"/>
      <c r="G1003" s="113"/>
      <c r="H1003" s="113"/>
      <c r="I1003" s="113"/>
      <c r="J1003" s="113"/>
      <c r="K1003" s="113"/>
      <c r="L1003" s="113"/>
      <c r="M1003" s="113"/>
      <c r="N1003" s="113"/>
      <c r="O1003" s="113"/>
      <c r="P1003" s="141"/>
    </row>
    <row r="1004" spans="3:16" x14ac:dyDescent="0.35">
      <c r="C1004" s="140"/>
      <c r="D1004" s="140"/>
      <c r="E1004" s="113"/>
      <c r="F1004" s="113"/>
      <c r="G1004" s="113"/>
      <c r="H1004" s="113"/>
      <c r="I1004" s="113"/>
      <c r="J1004" s="113"/>
      <c r="K1004" s="113"/>
      <c r="L1004" s="113"/>
      <c r="M1004" s="113"/>
      <c r="N1004" s="113"/>
      <c r="O1004" s="113"/>
      <c r="P1004" s="141"/>
    </row>
    <row r="1005" spans="3:16" x14ac:dyDescent="0.35">
      <c r="C1005" s="140"/>
      <c r="D1005" s="140"/>
      <c r="E1005" s="113"/>
      <c r="F1005" s="113"/>
      <c r="G1005" s="113"/>
      <c r="H1005" s="113"/>
      <c r="I1005" s="113"/>
      <c r="J1005" s="113"/>
      <c r="K1005" s="113"/>
      <c r="L1005" s="113"/>
      <c r="M1005" s="113"/>
      <c r="N1005" s="113"/>
      <c r="O1005" s="113"/>
      <c r="P1005" s="141"/>
    </row>
    <row r="1006" spans="3:16" x14ac:dyDescent="0.35">
      <c r="C1006" s="140"/>
      <c r="D1006" s="140"/>
      <c r="E1006" s="113"/>
      <c r="F1006" s="113"/>
      <c r="G1006" s="113"/>
      <c r="H1006" s="113"/>
      <c r="I1006" s="113"/>
      <c r="J1006" s="113"/>
      <c r="K1006" s="113"/>
      <c r="L1006" s="113"/>
      <c r="M1006" s="113"/>
      <c r="N1006" s="113"/>
      <c r="O1006" s="113"/>
      <c r="P1006" s="141"/>
    </row>
    <row r="1007" spans="3:16" x14ac:dyDescent="0.35">
      <c r="C1007" s="140"/>
      <c r="D1007" s="140"/>
      <c r="E1007" s="113"/>
      <c r="F1007" s="113"/>
      <c r="G1007" s="113"/>
      <c r="H1007" s="113"/>
      <c r="I1007" s="113"/>
      <c r="J1007" s="113"/>
      <c r="K1007" s="113"/>
      <c r="L1007" s="113"/>
      <c r="M1007" s="113"/>
      <c r="N1007" s="113"/>
      <c r="O1007" s="113"/>
      <c r="P1007" s="141"/>
    </row>
    <row r="1008" spans="3:16" x14ac:dyDescent="0.35">
      <c r="C1008" s="140"/>
      <c r="D1008" s="140"/>
      <c r="E1008" s="113"/>
      <c r="F1008" s="113"/>
      <c r="G1008" s="113"/>
      <c r="H1008" s="113"/>
      <c r="I1008" s="113"/>
      <c r="J1008" s="113"/>
      <c r="K1008" s="113"/>
      <c r="L1008" s="113"/>
      <c r="M1008" s="113"/>
      <c r="N1008" s="113"/>
      <c r="O1008" s="113"/>
      <c r="P1008" s="141"/>
    </row>
    <row r="1009" spans="3:16" x14ac:dyDescent="0.35">
      <c r="C1009" s="140"/>
      <c r="D1009" s="140"/>
      <c r="E1009" s="113"/>
      <c r="F1009" s="113"/>
      <c r="G1009" s="113"/>
      <c r="H1009" s="113"/>
      <c r="I1009" s="113"/>
      <c r="J1009" s="113"/>
      <c r="K1009" s="113"/>
      <c r="L1009" s="113"/>
      <c r="M1009" s="113"/>
      <c r="N1009" s="113"/>
      <c r="O1009" s="113"/>
      <c r="P1009" s="141"/>
    </row>
    <row r="1010" spans="3:16" x14ac:dyDescent="0.35">
      <c r="C1010" s="140"/>
      <c r="D1010" s="140"/>
      <c r="E1010" s="113"/>
      <c r="F1010" s="113"/>
      <c r="G1010" s="113"/>
      <c r="H1010" s="113"/>
      <c r="I1010" s="113"/>
      <c r="J1010" s="113"/>
      <c r="K1010" s="113"/>
      <c r="L1010" s="113"/>
      <c r="M1010" s="113"/>
      <c r="N1010" s="113"/>
      <c r="O1010" s="113"/>
      <c r="P1010" s="141"/>
    </row>
    <row r="1011" spans="3:16" x14ac:dyDescent="0.35">
      <c r="C1011" s="140"/>
      <c r="D1011" s="140"/>
      <c r="E1011" s="113"/>
      <c r="F1011" s="113"/>
      <c r="G1011" s="113"/>
      <c r="H1011" s="113"/>
      <c r="I1011" s="113"/>
      <c r="J1011" s="113"/>
      <c r="K1011" s="113"/>
      <c r="L1011" s="113"/>
      <c r="M1011" s="113"/>
      <c r="N1011" s="113"/>
      <c r="O1011" s="113"/>
      <c r="P1011" s="141"/>
    </row>
    <row r="1012" spans="3:16" x14ac:dyDescent="0.35">
      <c r="C1012" s="140"/>
      <c r="D1012" s="140"/>
      <c r="E1012" s="113"/>
      <c r="F1012" s="113"/>
      <c r="G1012" s="113"/>
      <c r="H1012" s="113"/>
      <c r="I1012" s="113"/>
      <c r="J1012" s="113"/>
      <c r="K1012" s="113"/>
      <c r="L1012" s="113"/>
      <c r="M1012" s="113"/>
      <c r="N1012" s="113"/>
      <c r="O1012" s="113"/>
      <c r="P1012" s="141"/>
    </row>
    <row r="1013" spans="3:16" x14ac:dyDescent="0.35">
      <c r="C1013" s="140"/>
      <c r="D1013" s="140"/>
      <c r="E1013" s="113"/>
      <c r="F1013" s="113"/>
      <c r="G1013" s="113"/>
      <c r="H1013" s="113"/>
      <c r="I1013" s="113"/>
      <c r="J1013" s="113"/>
      <c r="K1013" s="113"/>
      <c r="L1013" s="113"/>
      <c r="M1013" s="113"/>
      <c r="N1013" s="113"/>
      <c r="O1013" s="113"/>
      <c r="P1013" s="141"/>
    </row>
    <row r="1014" spans="3:16" x14ac:dyDescent="0.35">
      <c r="C1014" s="140"/>
      <c r="D1014" s="140"/>
      <c r="E1014" s="113"/>
      <c r="F1014" s="113"/>
      <c r="G1014" s="113"/>
      <c r="H1014" s="113"/>
      <c r="I1014" s="113"/>
      <c r="J1014" s="113"/>
      <c r="K1014" s="113"/>
      <c r="L1014" s="113"/>
      <c r="M1014" s="113"/>
      <c r="N1014" s="113"/>
      <c r="O1014" s="113"/>
      <c r="P1014" s="141"/>
    </row>
    <row r="1015" spans="3:16" x14ac:dyDescent="0.35">
      <c r="C1015" s="140"/>
      <c r="D1015" s="140"/>
      <c r="E1015" s="113"/>
      <c r="F1015" s="113"/>
      <c r="G1015" s="113"/>
      <c r="H1015" s="113"/>
      <c r="I1015" s="113"/>
      <c r="J1015" s="113"/>
      <c r="K1015" s="113"/>
      <c r="L1015" s="113"/>
      <c r="M1015" s="113"/>
      <c r="N1015" s="113"/>
      <c r="O1015" s="113"/>
      <c r="P1015" s="141"/>
    </row>
    <row r="1016" spans="3:16" x14ac:dyDescent="0.35">
      <c r="C1016" s="140"/>
      <c r="D1016" s="140"/>
      <c r="E1016" s="113"/>
      <c r="F1016" s="113"/>
      <c r="G1016" s="113"/>
      <c r="H1016" s="113"/>
      <c r="I1016" s="113"/>
      <c r="J1016" s="113"/>
      <c r="K1016" s="113"/>
      <c r="L1016" s="113"/>
      <c r="M1016" s="113"/>
      <c r="N1016" s="113"/>
      <c r="O1016" s="113"/>
      <c r="P1016" s="141"/>
    </row>
    <row r="1017" spans="3:16" x14ac:dyDescent="0.35">
      <c r="C1017" s="140"/>
      <c r="D1017" s="140"/>
      <c r="E1017" s="113"/>
      <c r="F1017" s="113"/>
      <c r="G1017" s="113"/>
      <c r="H1017" s="113"/>
      <c r="I1017" s="113"/>
      <c r="J1017" s="113"/>
      <c r="K1017" s="113"/>
      <c r="L1017" s="113"/>
      <c r="M1017" s="113"/>
      <c r="N1017" s="113"/>
      <c r="O1017" s="113"/>
      <c r="P1017" s="141"/>
    </row>
    <row r="1018" spans="3:16" x14ac:dyDescent="0.35">
      <c r="C1018" s="140"/>
      <c r="D1018" s="140"/>
      <c r="E1018" s="113"/>
      <c r="F1018" s="113"/>
      <c r="G1018" s="113"/>
      <c r="H1018" s="113"/>
      <c r="I1018" s="113"/>
      <c r="J1018" s="113"/>
      <c r="K1018" s="113"/>
      <c r="L1018" s="113"/>
      <c r="M1018" s="113"/>
      <c r="N1018" s="113"/>
      <c r="O1018" s="113"/>
      <c r="P1018" s="141"/>
    </row>
    <row r="1019" spans="3:16" x14ac:dyDescent="0.35">
      <c r="C1019" s="140"/>
      <c r="D1019" s="140"/>
      <c r="E1019" s="113"/>
      <c r="F1019" s="113"/>
      <c r="G1019" s="113"/>
      <c r="H1019" s="113"/>
      <c r="I1019" s="113"/>
      <c r="J1019" s="113"/>
      <c r="K1019" s="113"/>
      <c r="L1019" s="113"/>
      <c r="M1019" s="113"/>
      <c r="N1019" s="113"/>
      <c r="O1019" s="113"/>
      <c r="P1019" s="141"/>
    </row>
    <row r="1020" spans="3:16" x14ac:dyDescent="0.35">
      <c r="C1020" s="140"/>
      <c r="D1020" s="140"/>
      <c r="E1020" s="113"/>
      <c r="F1020" s="113"/>
      <c r="G1020" s="113"/>
      <c r="H1020" s="113"/>
      <c r="I1020" s="113"/>
      <c r="J1020" s="113"/>
      <c r="K1020" s="113"/>
      <c r="L1020" s="113"/>
      <c r="M1020" s="113"/>
      <c r="N1020" s="113"/>
      <c r="O1020" s="113"/>
      <c r="P1020" s="141"/>
    </row>
    <row r="1021" spans="3:16" x14ac:dyDescent="0.35">
      <c r="C1021" s="140"/>
      <c r="D1021" s="140"/>
      <c r="E1021" s="113"/>
      <c r="F1021" s="113"/>
      <c r="G1021" s="113"/>
      <c r="H1021" s="113"/>
      <c r="I1021" s="113"/>
      <c r="J1021" s="113"/>
      <c r="K1021" s="113"/>
      <c r="L1021" s="113"/>
      <c r="M1021" s="113"/>
      <c r="N1021" s="113"/>
      <c r="O1021" s="113"/>
      <c r="P1021" s="141"/>
    </row>
    <row r="1022" spans="3:16" x14ac:dyDescent="0.35">
      <c r="C1022" s="140"/>
      <c r="D1022" s="140"/>
      <c r="E1022" s="113"/>
      <c r="F1022" s="113"/>
      <c r="G1022" s="113"/>
      <c r="H1022" s="113"/>
      <c r="I1022" s="113"/>
      <c r="J1022" s="113"/>
      <c r="K1022" s="113"/>
      <c r="L1022" s="113"/>
      <c r="M1022" s="113"/>
      <c r="N1022" s="113"/>
      <c r="O1022" s="113"/>
      <c r="P1022" s="141"/>
    </row>
    <row r="1023" spans="3:16" x14ac:dyDescent="0.35">
      <c r="C1023" s="140"/>
      <c r="D1023" s="140"/>
      <c r="E1023" s="113"/>
      <c r="F1023" s="113"/>
      <c r="G1023" s="113"/>
      <c r="H1023" s="113"/>
      <c r="I1023" s="113"/>
      <c r="J1023" s="113"/>
      <c r="K1023" s="113"/>
      <c r="L1023" s="113"/>
      <c r="M1023" s="113"/>
      <c r="N1023" s="113"/>
      <c r="O1023" s="113"/>
      <c r="P1023" s="141"/>
    </row>
    <row r="1024" spans="3:16" x14ac:dyDescent="0.35">
      <c r="C1024" s="140"/>
      <c r="D1024" s="140"/>
      <c r="E1024" s="113"/>
      <c r="F1024" s="113"/>
      <c r="G1024" s="113"/>
      <c r="H1024" s="113"/>
      <c r="I1024" s="113"/>
      <c r="J1024" s="113"/>
      <c r="K1024" s="113"/>
      <c r="L1024" s="113"/>
      <c r="M1024" s="113"/>
      <c r="N1024" s="113"/>
      <c r="O1024" s="113"/>
      <c r="P1024" s="141"/>
    </row>
    <row r="1025" spans="3:16" x14ac:dyDescent="0.35">
      <c r="C1025" s="140"/>
      <c r="D1025" s="140"/>
      <c r="E1025" s="113"/>
      <c r="F1025" s="113"/>
      <c r="G1025" s="113"/>
      <c r="H1025" s="113"/>
      <c r="I1025" s="113"/>
      <c r="J1025" s="113"/>
      <c r="K1025" s="113"/>
      <c r="L1025" s="113"/>
      <c r="M1025" s="113"/>
      <c r="N1025" s="113"/>
      <c r="O1025" s="113"/>
      <c r="P1025" s="141"/>
    </row>
    <row r="1026" spans="3:16" x14ac:dyDescent="0.35">
      <c r="C1026" s="140"/>
      <c r="D1026" s="140"/>
      <c r="E1026" s="113"/>
      <c r="F1026" s="113"/>
      <c r="G1026" s="113"/>
      <c r="H1026" s="113"/>
      <c r="I1026" s="113"/>
      <c r="J1026" s="113"/>
      <c r="K1026" s="113"/>
      <c r="L1026" s="113"/>
      <c r="M1026" s="113"/>
      <c r="N1026" s="113"/>
      <c r="O1026" s="113"/>
      <c r="P1026" s="141"/>
    </row>
    <row r="1027" spans="3:16" x14ac:dyDescent="0.35">
      <c r="C1027" s="140"/>
      <c r="D1027" s="140"/>
      <c r="E1027" s="113"/>
      <c r="F1027" s="113"/>
      <c r="G1027" s="113"/>
      <c r="H1027" s="113"/>
      <c r="I1027" s="113"/>
      <c r="J1027" s="113"/>
      <c r="K1027" s="113"/>
      <c r="L1027" s="113"/>
      <c r="M1027" s="113"/>
      <c r="N1027" s="113"/>
      <c r="O1027" s="113"/>
      <c r="P1027" s="141"/>
    </row>
    <row r="1028" spans="3:16" x14ac:dyDescent="0.35">
      <c r="C1028" s="140"/>
      <c r="D1028" s="140"/>
      <c r="E1028" s="113"/>
      <c r="F1028" s="113"/>
      <c r="G1028" s="113"/>
      <c r="H1028" s="113"/>
      <c r="I1028" s="113"/>
      <c r="J1028" s="113"/>
      <c r="K1028" s="113"/>
      <c r="L1028" s="113"/>
      <c r="M1028" s="113"/>
      <c r="N1028" s="113"/>
      <c r="O1028" s="113"/>
      <c r="P1028" s="141"/>
    </row>
    <row r="1029" spans="3:16" x14ac:dyDescent="0.35">
      <c r="C1029" s="140"/>
      <c r="D1029" s="140"/>
      <c r="E1029" s="113"/>
      <c r="F1029" s="113"/>
      <c r="G1029" s="113"/>
      <c r="H1029" s="113"/>
      <c r="I1029" s="113"/>
      <c r="J1029" s="113"/>
      <c r="K1029" s="113"/>
      <c r="L1029" s="113"/>
      <c r="M1029" s="113"/>
      <c r="N1029" s="113"/>
      <c r="O1029" s="113"/>
      <c r="P1029" s="141"/>
    </row>
    <row r="1030" spans="3:16" x14ac:dyDescent="0.35">
      <c r="C1030" s="140"/>
      <c r="D1030" s="140"/>
      <c r="E1030" s="113"/>
      <c r="F1030" s="113"/>
      <c r="G1030" s="113"/>
      <c r="H1030" s="113"/>
      <c r="I1030" s="113"/>
      <c r="J1030" s="113"/>
      <c r="K1030" s="113"/>
      <c r="L1030" s="113"/>
      <c r="M1030" s="113"/>
      <c r="N1030" s="113"/>
      <c r="O1030" s="113"/>
      <c r="P1030" s="141"/>
    </row>
    <row r="1031" spans="3:16" x14ac:dyDescent="0.35">
      <c r="C1031" s="140"/>
      <c r="D1031" s="140"/>
      <c r="E1031" s="113"/>
      <c r="F1031" s="113"/>
      <c r="G1031" s="113"/>
      <c r="H1031" s="113"/>
      <c r="I1031" s="113"/>
      <c r="J1031" s="113"/>
      <c r="K1031" s="113"/>
      <c r="L1031" s="113"/>
      <c r="M1031" s="113"/>
      <c r="N1031" s="113"/>
      <c r="O1031" s="113"/>
      <c r="P1031" s="141"/>
    </row>
    <row r="1032" spans="3:16" x14ac:dyDescent="0.35">
      <c r="C1032" s="140"/>
      <c r="D1032" s="140"/>
      <c r="E1032" s="113"/>
      <c r="F1032" s="113"/>
      <c r="G1032" s="113"/>
      <c r="H1032" s="113"/>
      <c r="I1032" s="113"/>
      <c r="J1032" s="113"/>
      <c r="K1032" s="113"/>
      <c r="L1032" s="113"/>
      <c r="M1032" s="113"/>
      <c r="N1032" s="113"/>
      <c r="O1032" s="113"/>
      <c r="P1032" s="141"/>
    </row>
    <row r="1033" spans="3:16" x14ac:dyDescent="0.35">
      <c r="C1033" s="140"/>
      <c r="D1033" s="140"/>
      <c r="E1033" s="113"/>
      <c r="F1033" s="113"/>
      <c r="G1033" s="113"/>
      <c r="H1033" s="113"/>
      <c r="I1033" s="113"/>
      <c r="J1033" s="113"/>
      <c r="K1033" s="113"/>
      <c r="L1033" s="113"/>
      <c r="M1033" s="113"/>
      <c r="N1033" s="113"/>
      <c r="O1033" s="113"/>
      <c r="P1033" s="141"/>
    </row>
    <row r="1034" spans="3:16" x14ac:dyDescent="0.35">
      <c r="C1034" s="140"/>
      <c r="D1034" s="140"/>
      <c r="E1034" s="113"/>
      <c r="F1034" s="113"/>
      <c r="G1034" s="113"/>
      <c r="H1034" s="113"/>
      <c r="I1034" s="113"/>
      <c r="J1034" s="113"/>
      <c r="K1034" s="113"/>
      <c r="L1034" s="113"/>
      <c r="M1034" s="113"/>
      <c r="N1034" s="113"/>
      <c r="O1034" s="113"/>
      <c r="P1034" s="141"/>
    </row>
    <row r="1035" spans="3:16" x14ac:dyDescent="0.35">
      <c r="C1035" s="140"/>
      <c r="D1035" s="140"/>
      <c r="E1035" s="113"/>
      <c r="F1035" s="113"/>
      <c r="G1035" s="113"/>
      <c r="H1035" s="113"/>
      <c r="I1035" s="113"/>
      <c r="J1035" s="113"/>
      <c r="K1035" s="113"/>
      <c r="L1035" s="113"/>
      <c r="M1035" s="113"/>
      <c r="N1035" s="113"/>
      <c r="O1035" s="113"/>
      <c r="P1035" s="141"/>
    </row>
    <row r="1036" spans="3:16" x14ac:dyDescent="0.35">
      <c r="C1036" s="140"/>
      <c r="D1036" s="140"/>
      <c r="E1036" s="113"/>
      <c r="F1036" s="113"/>
      <c r="G1036" s="113"/>
      <c r="H1036" s="113"/>
      <c r="I1036" s="113"/>
      <c r="J1036" s="113"/>
      <c r="K1036" s="113"/>
      <c r="L1036" s="113"/>
      <c r="M1036" s="113"/>
      <c r="N1036" s="113"/>
      <c r="O1036" s="113"/>
      <c r="P1036" s="141"/>
    </row>
    <row r="1037" spans="3:16" x14ac:dyDescent="0.35">
      <c r="C1037" s="140"/>
      <c r="D1037" s="140"/>
      <c r="E1037" s="113"/>
      <c r="F1037" s="113"/>
      <c r="G1037" s="113"/>
      <c r="H1037" s="113"/>
      <c r="I1037" s="113"/>
      <c r="J1037" s="113"/>
      <c r="K1037" s="113"/>
      <c r="L1037" s="113"/>
      <c r="M1037" s="113"/>
      <c r="N1037" s="113"/>
      <c r="O1037" s="113"/>
      <c r="P1037" s="141"/>
    </row>
    <row r="1038" spans="3:16" x14ac:dyDescent="0.35">
      <c r="C1038" s="140"/>
      <c r="D1038" s="140"/>
      <c r="E1038" s="113"/>
      <c r="F1038" s="113"/>
      <c r="G1038" s="113"/>
      <c r="H1038" s="113"/>
      <c r="I1038" s="113"/>
      <c r="J1038" s="113"/>
      <c r="K1038" s="113"/>
      <c r="L1038" s="113"/>
      <c r="M1038" s="113"/>
      <c r="N1038" s="113"/>
      <c r="O1038" s="113"/>
      <c r="P1038" s="141"/>
    </row>
    <row r="1039" spans="3:16" x14ac:dyDescent="0.35">
      <c r="C1039" s="140"/>
      <c r="D1039" s="140"/>
      <c r="E1039" s="113"/>
      <c r="F1039" s="113"/>
      <c r="G1039" s="113"/>
      <c r="H1039" s="113"/>
      <c r="I1039" s="113"/>
      <c r="J1039" s="113"/>
      <c r="K1039" s="113"/>
      <c r="L1039" s="113"/>
      <c r="M1039" s="113"/>
      <c r="N1039" s="113"/>
      <c r="O1039" s="113"/>
      <c r="P1039" s="141"/>
    </row>
    <row r="1040" spans="3:16" x14ac:dyDescent="0.35">
      <c r="C1040" s="140"/>
      <c r="D1040" s="140"/>
      <c r="E1040" s="113"/>
      <c r="F1040" s="113"/>
      <c r="G1040" s="113"/>
      <c r="H1040" s="113"/>
      <c r="I1040" s="113"/>
      <c r="J1040" s="113"/>
      <c r="K1040" s="113"/>
      <c r="L1040" s="113"/>
      <c r="M1040" s="113"/>
      <c r="N1040" s="113"/>
      <c r="O1040" s="113"/>
      <c r="P1040" s="141"/>
    </row>
    <row r="1041" spans="3:16" x14ac:dyDescent="0.35">
      <c r="C1041" s="140"/>
      <c r="D1041" s="140"/>
      <c r="E1041" s="113"/>
      <c r="F1041" s="113"/>
      <c r="G1041" s="113"/>
      <c r="H1041" s="113"/>
      <c r="I1041" s="113"/>
      <c r="J1041" s="113"/>
      <c r="K1041" s="113"/>
      <c r="L1041" s="113"/>
      <c r="M1041" s="113"/>
      <c r="N1041" s="113"/>
      <c r="O1041" s="113"/>
      <c r="P1041" s="141"/>
    </row>
    <row r="1042" spans="3:16" x14ac:dyDescent="0.35">
      <c r="C1042" s="140"/>
      <c r="D1042" s="140"/>
      <c r="E1042" s="113"/>
      <c r="F1042" s="113"/>
      <c r="G1042" s="113"/>
      <c r="H1042" s="113"/>
      <c r="I1042" s="113"/>
      <c r="J1042" s="113"/>
      <c r="K1042" s="113"/>
      <c r="L1042" s="113"/>
      <c r="M1042" s="113"/>
      <c r="N1042" s="113"/>
      <c r="O1042" s="113"/>
      <c r="P1042" s="141"/>
    </row>
    <row r="1043" spans="3:16" x14ac:dyDescent="0.35">
      <c r="C1043" s="140"/>
      <c r="D1043" s="140"/>
      <c r="E1043" s="113"/>
      <c r="F1043" s="113"/>
      <c r="G1043" s="113"/>
      <c r="H1043" s="113"/>
      <c r="I1043" s="113"/>
      <c r="J1043" s="113"/>
      <c r="K1043" s="113"/>
      <c r="L1043" s="113"/>
      <c r="M1043" s="113"/>
      <c r="N1043" s="113"/>
      <c r="O1043" s="113"/>
      <c r="P1043" s="141"/>
    </row>
    <row r="1044" spans="3:16" x14ac:dyDescent="0.35">
      <c r="C1044" s="140"/>
      <c r="D1044" s="140"/>
      <c r="E1044" s="113"/>
      <c r="F1044" s="113"/>
      <c r="G1044" s="113"/>
      <c r="H1044" s="113"/>
      <c r="I1044" s="113"/>
      <c r="J1044" s="113"/>
      <c r="K1044" s="113"/>
      <c r="L1044" s="113"/>
      <c r="M1044" s="113"/>
      <c r="N1044" s="113"/>
      <c r="O1044" s="113"/>
      <c r="P1044" s="141"/>
    </row>
    <row r="1045" spans="3:16" x14ac:dyDescent="0.35">
      <c r="C1045" s="140"/>
      <c r="D1045" s="140"/>
      <c r="E1045" s="113"/>
      <c r="F1045" s="113"/>
      <c r="G1045" s="113"/>
      <c r="H1045" s="113"/>
      <c r="I1045" s="113"/>
      <c r="J1045" s="113"/>
      <c r="K1045" s="113"/>
      <c r="L1045" s="113"/>
      <c r="M1045" s="113"/>
      <c r="N1045" s="113"/>
      <c r="O1045" s="113"/>
      <c r="P1045" s="141"/>
    </row>
    <row r="1046" spans="3:16" x14ac:dyDescent="0.35">
      <c r="C1046" s="140"/>
      <c r="D1046" s="140"/>
      <c r="E1046" s="113"/>
      <c r="F1046" s="113"/>
      <c r="G1046" s="113"/>
      <c r="H1046" s="113"/>
      <c r="I1046" s="113"/>
      <c r="J1046" s="113"/>
      <c r="K1046" s="113"/>
      <c r="L1046" s="113"/>
      <c r="M1046" s="113"/>
      <c r="N1046" s="113"/>
      <c r="O1046" s="113"/>
      <c r="P1046" s="141"/>
    </row>
    <row r="1047" spans="3:16" x14ac:dyDescent="0.35">
      <c r="C1047" s="140"/>
      <c r="D1047" s="140"/>
      <c r="E1047" s="113"/>
      <c r="F1047" s="113"/>
      <c r="G1047" s="113"/>
      <c r="H1047" s="113"/>
      <c r="I1047" s="113"/>
      <c r="J1047" s="113"/>
      <c r="K1047" s="113"/>
      <c r="L1047" s="113"/>
      <c r="M1047" s="113"/>
      <c r="N1047" s="113"/>
      <c r="O1047" s="113"/>
      <c r="P1047" s="141"/>
    </row>
    <row r="1048" spans="3:16" x14ac:dyDescent="0.35">
      <c r="C1048" s="140"/>
      <c r="D1048" s="140"/>
      <c r="E1048" s="113"/>
      <c r="F1048" s="113"/>
      <c r="G1048" s="113"/>
      <c r="H1048" s="113"/>
      <c r="I1048" s="113"/>
      <c r="J1048" s="113"/>
      <c r="K1048" s="113"/>
      <c r="L1048" s="113"/>
      <c r="M1048" s="113"/>
      <c r="N1048" s="113"/>
      <c r="O1048" s="113"/>
      <c r="P1048" s="141"/>
    </row>
    <row r="1049" spans="3:16" x14ac:dyDescent="0.35">
      <c r="C1049" s="140"/>
      <c r="D1049" s="140"/>
      <c r="E1049" s="113"/>
      <c r="F1049" s="113"/>
      <c r="G1049" s="113"/>
      <c r="H1049" s="113"/>
      <c r="I1049" s="113"/>
      <c r="J1049" s="113"/>
      <c r="K1049" s="113"/>
      <c r="L1049" s="113"/>
      <c r="M1049" s="113"/>
      <c r="N1049" s="113"/>
      <c r="O1049" s="113"/>
      <c r="P1049" s="141"/>
    </row>
    <row r="1050" spans="3:16" x14ac:dyDescent="0.35">
      <c r="C1050" s="140"/>
      <c r="D1050" s="140"/>
      <c r="E1050" s="113"/>
      <c r="F1050" s="113"/>
      <c r="G1050" s="113"/>
      <c r="H1050" s="113"/>
      <c r="I1050" s="113"/>
      <c r="J1050" s="113"/>
      <c r="K1050" s="113"/>
      <c r="L1050" s="113"/>
      <c r="M1050" s="113"/>
      <c r="N1050" s="113"/>
      <c r="O1050" s="113"/>
      <c r="P1050" s="141"/>
    </row>
    <row r="1051" spans="3:16" x14ac:dyDescent="0.35">
      <c r="C1051" s="140"/>
      <c r="D1051" s="140"/>
      <c r="E1051" s="113"/>
      <c r="F1051" s="113"/>
      <c r="G1051" s="113"/>
      <c r="H1051" s="113"/>
      <c r="I1051" s="113"/>
      <c r="J1051" s="113"/>
      <c r="K1051" s="113"/>
      <c r="L1051" s="113"/>
      <c r="M1051" s="113"/>
      <c r="N1051" s="113"/>
      <c r="O1051" s="113"/>
      <c r="P1051" s="141"/>
    </row>
    <row r="1052" spans="3:16" x14ac:dyDescent="0.35">
      <c r="C1052" s="140"/>
      <c r="D1052" s="140"/>
      <c r="E1052" s="113"/>
      <c r="F1052" s="113"/>
      <c r="G1052" s="113"/>
      <c r="H1052" s="113"/>
      <c r="I1052" s="113"/>
      <c r="J1052" s="113"/>
      <c r="K1052" s="113"/>
      <c r="L1052" s="113"/>
      <c r="M1052" s="113"/>
      <c r="N1052" s="113"/>
      <c r="O1052" s="113"/>
      <c r="P1052" s="141"/>
    </row>
    <row r="1053" spans="3:16" x14ac:dyDescent="0.35">
      <c r="C1053" s="140"/>
      <c r="D1053" s="140"/>
      <c r="E1053" s="113"/>
      <c r="F1053" s="113"/>
      <c r="G1053" s="113"/>
      <c r="H1053" s="113"/>
      <c r="I1053" s="113"/>
      <c r="J1053" s="113"/>
      <c r="K1053" s="113"/>
      <c r="L1053" s="113"/>
      <c r="M1053" s="113"/>
      <c r="N1053" s="113"/>
      <c r="O1053" s="113"/>
      <c r="P1053" s="141"/>
    </row>
    <row r="1054" spans="3:16" x14ac:dyDescent="0.35">
      <c r="C1054" s="140"/>
      <c r="D1054" s="140"/>
      <c r="E1054" s="113"/>
      <c r="F1054" s="113"/>
      <c r="G1054" s="113"/>
      <c r="H1054" s="113"/>
      <c r="I1054" s="113"/>
      <c r="J1054" s="113"/>
      <c r="K1054" s="113"/>
      <c r="L1054" s="113"/>
      <c r="M1054" s="113"/>
      <c r="N1054" s="113"/>
      <c r="O1054" s="113"/>
      <c r="P1054" s="141"/>
    </row>
    <row r="1055" spans="3:16" x14ac:dyDescent="0.35">
      <c r="C1055" s="140"/>
      <c r="D1055" s="140"/>
      <c r="E1055" s="113"/>
      <c r="F1055" s="113"/>
      <c r="G1055" s="113"/>
      <c r="H1055" s="113"/>
      <c r="I1055" s="113"/>
      <c r="J1055" s="113"/>
      <c r="K1055" s="113"/>
      <c r="L1055" s="113"/>
      <c r="M1055" s="113"/>
      <c r="N1055" s="113"/>
      <c r="O1055" s="113"/>
      <c r="P1055" s="141"/>
    </row>
    <row r="1056" spans="3:16" x14ac:dyDescent="0.35">
      <c r="C1056" s="140"/>
      <c r="D1056" s="140"/>
      <c r="E1056" s="113"/>
      <c r="F1056" s="113"/>
      <c r="G1056" s="113"/>
      <c r="H1056" s="113"/>
      <c r="I1056" s="113"/>
      <c r="J1056" s="113"/>
      <c r="K1056" s="113"/>
      <c r="L1056" s="113"/>
      <c r="M1056" s="113"/>
      <c r="N1056" s="113"/>
      <c r="O1056" s="113"/>
      <c r="P1056" s="141"/>
    </row>
    <row r="1057" spans="3:16" x14ac:dyDescent="0.35">
      <c r="C1057" s="140"/>
      <c r="D1057" s="140"/>
      <c r="E1057" s="113"/>
      <c r="F1057" s="113"/>
      <c r="G1057" s="113"/>
      <c r="H1057" s="113"/>
      <c r="I1057" s="113"/>
      <c r="J1057" s="113"/>
      <c r="K1057" s="113"/>
      <c r="L1057" s="113"/>
      <c r="M1057" s="113"/>
      <c r="N1057" s="113"/>
      <c r="O1057" s="113"/>
      <c r="P1057" s="141"/>
    </row>
    <row r="1058" spans="3:16" x14ac:dyDescent="0.35">
      <c r="C1058" s="140"/>
      <c r="D1058" s="140"/>
      <c r="E1058" s="113"/>
      <c r="F1058" s="113"/>
      <c r="G1058" s="113"/>
      <c r="H1058" s="113"/>
      <c r="I1058" s="113"/>
      <c r="J1058" s="113"/>
      <c r="K1058" s="113"/>
      <c r="L1058" s="113"/>
      <c r="M1058" s="113"/>
      <c r="N1058" s="113"/>
      <c r="O1058" s="113"/>
      <c r="P1058" s="141"/>
    </row>
    <row r="1059" spans="3:16" x14ac:dyDescent="0.35">
      <c r="C1059" s="140"/>
      <c r="D1059" s="140"/>
      <c r="E1059" s="113"/>
      <c r="F1059" s="113"/>
      <c r="G1059" s="113"/>
      <c r="H1059" s="113"/>
      <c r="I1059" s="113"/>
      <c r="J1059" s="113"/>
      <c r="K1059" s="113"/>
      <c r="L1059" s="113"/>
      <c r="M1059" s="113"/>
      <c r="N1059" s="113"/>
      <c r="O1059" s="113"/>
      <c r="P1059" s="141"/>
    </row>
    <row r="1060" spans="3:16" x14ac:dyDescent="0.35">
      <c r="C1060" s="140"/>
      <c r="D1060" s="140"/>
      <c r="E1060" s="113"/>
      <c r="F1060" s="113"/>
      <c r="G1060" s="113"/>
      <c r="H1060" s="113"/>
      <c r="I1060" s="113"/>
      <c r="J1060" s="113"/>
      <c r="K1060" s="113"/>
      <c r="L1060" s="113"/>
      <c r="M1060" s="113"/>
      <c r="N1060" s="113"/>
      <c r="O1060" s="113"/>
      <c r="P1060" s="141"/>
    </row>
    <row r="1061" spans="3:16" x14ac:dyDescent="0.35">
      <c r="C1061" s="140"/>
      <c r="D1061" s="140"/>
      <c r="E1061" s="113"/>
      <c r="F1061" s="113"/>
      <c r="G1061" s="113"/>
      <c r="H1061" s="113"/>
      <c r="I1061" s="113"/>
      <c r="J1061" s="113"/>
      <c r="K1061" s="113"/>
      <c r="L1061" s="113"/>
      <c r="M1061" s="113"/>
      <c r="N1061" s="113"/>
      <c r="O1061" s="113"/>
      <c r="P1061" s="141"/>
    </row>
    <row r="1062" spans="3:16" x14ac:dyDescent="0.35">
      <c r="C1062" s="140"/>
      <c r="D1062" s="140"/>
      <c r="E1062" s="113"/>
      <c r="F1062" s="113"/>
      <c r="G1062" s="113"/>
      <c r="H1062" s="113"/>
      <c r="I1062" s="113"/>
      <c r="J1062" s="113"/>
      <c r="K1062" s="113"/>
      <c r="L1062" s="113"/>
      <c r="M1062" s="113"/>
      <c r="N1062" s="113"/>
      <c r="O1062" s="113"/>
      <c r="P1062" s="141"/>
    </row>
    <row r="1063" spans="3:16" x14ac:dyDescent="0.35">
      <c r="C1063" s="140"/>
      <c r="D1063" s="140"/>
      <c r="E1063" s="113"/>
      <c r="F1063" s="113"/>
      <c r="G1063" s="113"/>
      <c r="H1063" s="113"/>
      <c r="I1063" s="113"/>
      <c r="J1063" s="113"/>
      <c r="K1063" s="113"/>
      <c r="L1063" s="113"/>
      <c r="M1063" s="113"/>
      <c r="N1063" s="113"/>
      <c r="O1063" s="113"/>
      <c r="P1063" s="141"/>
    </row>
    <row r="1064" spans="3:16" x14ac:dyDescent="0.35">
      <c r="C1064" s="140"/>
      <c r="D1064" s="140"/>
      <c r="E1064" s="113"/>
      <c r="F1064" s="113"/>
      <c r="G1064" s="113"/>
      <c r="H1064" s="113"/>
      <c r="I1064" s="113"/>
      <c r="J1064" s="113"/>
      <c r="K1064" s="113"/>
      <c r="L1064" s="113"/>
      <c r="M1064" s="113"/>
      <c r="N1064" s="113"/>
      <c r="O1064" s="113"/>
      <c r="P1064" s="141"/>
    </row>
    <row r="1065" spans="3:16" x14ac:dyDescent="0.35">
      <c r="C1065" s="140"/>
      <c r="D1065" s="140"/>
      <c r="E1065" s="113"/>
      <c r="F1065" s="113"/>
      <c r="G1065" s="113"/>
      <c r="H1065" s="113"/>
      <c r="I1065" s="113"/>
      <c r="J1065" s="113"/>
      <c r="K1065" s="113"/>
      <c r="L1065" s="113"/>
      <c r="M1065" s="113"/>
      <c r="N1065" s="113"/>
      <c r="O1065" s="113"/>
      <c r="P1065" s="141"/>
    </row>
    <row r="1066" spans="3:16" x14ac:dyDescent="0.35">
      <c r="C1066" s="140"/>
      <c r="D1066" s="140"/>
      <c r="E1066" s="113"/>
      <c r="F1066" s="113"/>
      <c r="G1066" s="113"/>
      <c r="H1066" s="113"/>
      <c r="I1066" s="113"/>
      <c r="J1066" s="113"/>
      <c r="K1066" s="113"/>
      <c r="L1066" s="113"/>
      <c r="M1066" s="113"/>
      <c r="N1066" s="113"/>
      <c r="O1066" s="113"/>
      <c r="P1066" s="141"/>
    </row>
    <row r="1067" spans="3:16" x14ac:dyDescent="0.35">
      <c r="C1067" s="140"/>
      <c r="D1067" s="140"/>
      <c r="E1067" s="113"/>
      <c r="F1067" s="113"/>
      <c r="G1067" s="113"/>
      <c r="H1067" s="113"/>
      <c r="I1067" s="113"/>
      <c r="J1067" s="113"/>
      <c r="K1067" s="113"/>
      <c r="L1067" s="113"/>
      <c r="M1067" s="113"/>
      <c r="N1067" s="113"/>
      <c r="O1067" s="113"/>
      <c r="P1067" s="141"/>
    </row>
    <row r="1068" spans="3:16" x14ac:dyDescent="0.35">
      <c r="C1068" s="140"/>
      <c r="D1068" s="140"/>
      <c r="E1068" s="113"/>
      <c r="F1068" s="113"/>
      <c r="G1068" s="113"/>
      <c r="H1068" s="113"/>
      <c r="I1068" s="113"/>
      <c r="J1068" s="113"/>
      <c r="K1068" s="113"/>
      <c r="L1068" s="113"/>
      <c r="M1068" s="113"/>
      <c r="N1068" s="113"/>
      <c r="O1068" s="113"/>
      <c r="P1068" s="141"/>
    </row>
    <row r="1069" spans="3:16" x14ac:dyDescent="0.35">
      <c r="C1069" s="140"/>
      <c r="D1069" s="140"/>
      <c r="E1069" s="113"/>
      <c r="F1069" s="113"/>
      <c r="G1069" s="113"/>
      <c r="H1069" s="113"/>
      <c r="I1069" s="113"/>
      <c r="J1069" s="113"/>
      <c r="K1069" s="113"/>
      <c r="L1069" s="113"/>
      <c r="M1069" s="113"/>
      <c r="N1069" s="113"/>
      <c r="O1069" s="113"/>
      <c r="P1069" s="141"/>
    </row>
    <row r="1070" spans="3:16" x14ac:dyDescent="0.35">
      <c r="C1070" s="140"/>
      <c r="D1070" s="140"/>
      <c r="E1070" s="113"/>
      <c r="F1070" s="113"/>
      <c r="G1070" s="113"/>
      <c r="H1070" s="113"/>
      <c r="I1070" s="113"/>
      <c r="J1070" s="113"/>
      <c r="K1070" s="113"/>
      <c r="L1070" s="113"/>
      <c r="M1070" s="113"/>
      <c r="N1070" s="113"/>
      <c r="O1070" s="113"/>
      <c r="P1070" s="141"/>
    </row>
    <row r="1071" spans="3:16" x14ac:dyDescent="0.35">
      <c r="C1071" s="140"/>
      <c r="D1071" s="140"/>
      <c r="E1071" s="113"/>
      <c r="F1071" s="113"/>
      <c r="G1071" s="113"/>
      <c r="H1071" s="113"/>
      <c r="I1071" s="113"/>
      <c r="J1071" s="113"/>
      <c r="K1071" s="113"/>
      <c r="L1071" s="113"/>
      <c r="M1071" s="113"/>
      <c r="N1071" s="113"/>
      <c r="O1071" s="113"/>
      <c r="P1071" s="141"/>
    </row>
    <row r="1072" spans="3:16" x14ac:dyDescent="0.35">
      <c r="C1072" s="140"/>
      <c r="D1072" s="140"/>
      <c r="E1072" s="113"/>
      <c r="F1072" s="113"/>
      <c r="G1072" s="113"/>
      <c r="H1072" s="113"/>
      <c r="I1072" s="113"/>
      <c r="J1072" s="113"/>
      <c r="K1072" s="113"/>
      <c r="L1072" s="113"/>
      <c r="M1072" s="113"/>
      <c r="N1072" s="113"/>
      <c r="O1072" s="113"/>
      <c r="P1072" s="141"/>
    </row>
    <row r="1073" spans="3:16" x14ac:dyDescent="0.35">
      <c r="C1073" s="140"/>
      <c r="D1073" s="140"/>
      <c r="E1073" s="113"/>
      <c r="F1073" s="113"/>
      <c r="G1073" s="113"/>
      <c r="H1073" s="113"/>
      <c r="I1073" s="113"/>
      <c r="J1073" s="113"/>
      <c r="K1073" s="113"/>
      <c r="L1073" s="113"/>
      <c r="M1073" s="113"/>
      <c r="N1073" s="113"/>
      <c r="O1073" s="113"/>
      <c r="P1073" s="141"/>
    </row>
    <row r="1074" spans="3:16" x14ac:dyDescent="0.35">
      <c r="C1074" s="140"/>
      <c r="D1074" s="140"/>
      <c r="E1074" s="113"/>
      <c r="F1074" s="113"/>
      <c r="G1074" s="113"/>
      <c r="H1074" s="113"/>
      <c r="I1074" s="113"/>
      <c r="J1074" s="113"/>
      <c r="K1074" s="113"/>
      <c r="L1074" s="113"/>
      <c r="M1074" s="113"/>
      <c r="N1074" s="113"/>
      <c r="O1074" s="113"/>
      <c r="P1074" s="141"/>
    </row>
    <row r="1075" spans="3:16" x14ac:dyDescent="0.35">
      <c r="C1075" s="140"/>
      <c r="D1075" s="140"/>
      <c r="E1075" s="113"/>
      <c r="F1075" s="113"/>
      <c r="G1075" s="113"/>
      <c r="H1075" s="113"/>
      <c r="I1075" s="113"/>
      <c r="J1075" s="113"/>
      <c r="K1075" s="113"/>
      <c r="L1075" s="113"/>
      <c r="M1075" s="113"/>
      <c r="N1075" s="113"/>
      <c r="O1075" s="113"/>
      <c r="P1075" s="141"/>
    </row>
    <row r="1076" spans="3:16" x14ac:dyDescent="0.35">
      <c r="C1076" s="140"/>
      <c r="D1076" s="140"/>
      <c r="E1076" s="113"/>
      <c r="F1076" s="113"/>
      <c r="G1076" s="113"/>
      <c r="H1076" s="113"/>
      <c r="I1076" s="113"/>
      <c r="J1076" s="113"/>
      <c r="K1076" s="113"/>
      <c r="L1076" s="113"/>
      <c r="M1076" s="113"/>
      <c r="N1076" s="113"/>
      <c r="O1076" s="113"/>
      <c r="P1076" s="141"/>
    </row>
    <row r="1077" spans="3:16" x14ac:dyDescent="0.35">
      <c r="C1077" s="140"/>
      <c r="D1077" s="140"/>
      <c r="E1077" s="113"/>
      <c r="F1077" s="113"/>
      <c r="G1077" s="113"/>
      <c r="H1077" s="113"/>
      <c r="I1077" s="113"/>
      <c r="J1077" s="113"/>
      <c r="K1077" s="113"/>
      <c r="L1077" s="113"/>
      <c r="M1077" s="113"/>
      <c r="N1077" s="113"/>
      <c r="O1077" s="113"/>
      <c r="P1077" s="141"/>
    </row>
    <row r="1078" spans="3:16" x14ac:dyDescent="0.35">
      <c r="C1078" s="140"/>
      <c r="D1078" s="140"/>
      <c r="E1078" s="113"/>
      <c r="F1078" s="113"/>
      <c r="G1078" s="113"/>
      <c r="H1078" s="113"/>
      <c r="I1078" s="113"/>
      <c r="J1078" s="113"/>
      <c r="K1078" s="113"/>
      <c r="L1078" s="113"/>
      <c r="M1078" s="113"/>
      <c r="N1078" s="113"/>
      <c r="O1078" s="113"/>
      <c r="P1078" s="141"/>
    </row>
    <row r="1079" spans="3:16" x14ac:dyDescent="0.35">
      <c r="C1079" s="140"/>
      <c r="D1079" s="140"/>
      <c r="E1079" s="113"/>
      <c r="F1079" s="113"/>
      <c r="G1079" s="113"/>
      <c r="H1079" s="113"/>
      <c r="I1079" s="113"/>
      <c r="J1079" s="113"/>
      <c r="K1079" s="113"/>
      <c r="L1079" s="113"/>
      <c r="M1079" s="113"/>
      <c r="N1079" s="113"/>
      <c r="O1079" s="113"/>
      <c r="P1079" s="141"/>
    </row>
    <row r="1080" spans="3:16" x14ac:dyDescent="0.35">
      <c r="C1080" s="140"/>
      <c r="D1080" s="140"/>
      <c r="E1080" s="113"/>
      <c r="F1080" s="113"/>
      <c r="G1080" s="113"/>
      <c r="H1080" s="113"/>
      <c r="I1080" s="113"/>
      <c r="J1080" s="113"/>
      <c r="K1080" s="113"/>
      <c r="L1080" s="113"/>
      <c r="M1080" s="113"/>
      <c r="N1080" s="113"/>
      <c r="O1080" s="113"/>
      <c r="P1080" s="141"/>
    </row>
    <row r="1081" spans="3:16" x14ac:dyDescent="0.35">
      <c r="C1081" s="140"/>
      <c r="D1081" s="140"/>
      <c r="E1081" s="113"/>
      <c r="F1081" s="113"/>
      <c r="G1081" s="113"/>
      <c r="H1081" s="113"/>
      <c r="I1081" s="113"/>
      <c r="J1081" s="113"/>
      <c r="K1081" s="113"/>
      <c r="L1081" s="113"/>
      <c r="M1081" s="113"/>
      <c r="N1081" s="113"/>
      <c r="O1081" s="113"/>
      <c r="P1081" s="141"/>
    </row>
    <row r="1082" spans="3:16" x14ac:dyDescent="0.35">
      <c r="C1082" s="140"/>
      <c r="D1082" s="140"/>
      <c r="E1082" s="113"/>
      <c r="F1082" s="113"/>
      <c r="G1082" s="113"/>
      <c r="H1082" s="113"/>
      <c r="I1082" s="113"/>
      <c r="J1082" s="113"/>
      <c r="K1082" s="113"/>
      <c r="L1082" s="113"/>
      <c r="M1082" s="113"/>
      <c r="N1082" s="113"/>
      <c r="O1082" s="113"/>
      <c r="P1082" s="141"/>
    </row>
    <row r="1083" spans="3:16" x14ac:dyDescent="0.35">
      <c r="C1083" s="140"/>
      <c r="D1083" s="140"/>
      <c r="E1083" s="113"/>
      <c r="F1083" s="113"/>
      <c r="G1083" s="113"/>
      <c r="H1083" s="113"/>
      <c r="I1083" s="113"/>
      <c r="J1083" s="113"/>
      <c r="K1083" s="113"/>
      <c r="L1083" s="113"/>
      <c r="M1083" s="113"/>
      <c r="N1083" s="113"/>
      <c r="O1083" s="113"/>
      <c r="P1083" s="141"/>
    </row>
    <row r="1084" spans="3:16" x14ac:dyDescent="0.35">
      <c r="C1084" s="140"/>
      <c r="D1084" s="140"/>
      <c r="E1084" s="113"/>
      <c r="F1084" s="113"/>
      <c r="G1084" s="113"/>
      <c r="H1084" s="113"/>
      <c r="I1084" s="113"/>
      <c r="J1084" s="113"/>
      <c r="K1084" s="113"/>
      <c r="L1084" s="113"/>
      <c r="M1084" s="113"/>
      <c r="N1084" s="113"/>
      <c r="O1084" s="113"/>
      <c r="P1084" s="141"/>
    </row>
    <row r="1085" spans="3:16" x14ac:dyDescent="0.35">
      <c r="C1085" s="140"/>
      <c r="D1085" s="140"/>
      <c r="E1085" s="113"/>
      <c r="F1085" s="113"/>
      <c r="G1085" s="113"/>
      <c r="H1085" s="113"/>
      <c r="I1085" s="113"/>
      <c r="J1085" s="113"/>
      <c r="K1085" s="113"/>
      <c r="L1085" s="113"/>
      <c r="M1085" s="113"/>
      <c r="N1085" s="113"/>
      <c r="O1085" s="113"/>
      <c r="P1085" s="141"/>
    </row>
    <row r="1086" spans="3:16" x14ac:dyDescent="0.35">
      <c r="C1086" s="140"/>
      <c r="D1086" s="140"/>
      <c r="E1086" s="113"/>
      <c r="F1086" s="113"/>
      <c r="G1086" s="113"/>
      <c r="H1086" s="113"/>
      <c r="I1086" s="113"/>
      <c r="J1086" s="113"/>
      <c r="K1086" s="113"/>
      <c r="L1086" s="113"/>
      <c r="M1086" s="113"/>
      <c r="N1086" s="113"/>
      <c r="O1086" s="113"/>
      <c r="P1086" s="141"/>
    </row>
    <row r="1087" spans="3:16" x14ac:dyDescent="0.35">
      <c r="C1087" s="140"/>
      <c r="D1087" s="140"/>
      <c r="E1087" s="113"/>
      <c r="F1087" s="113"/>
      <c r="G1087" s="113"/>
      <c r="H1087" s="113"/>
      <c r="I1087" s="113"/>
      <c r="J1087" s="113"/>
      <c r="K1087" s="113"/>
      <c r="L1087" s="113"/>
      <c r="M1087" s="113"/>
      <c r="N1087" s="113"/>
      <c r="O1087" s="113"/>
      <c r="P1087" s="141"/>
    </row>
    <row r="1088" spans="3:16" x14ac:dyDescent="0.35">
      <c r="C1088" s="140"/>
      <c r="D1088" s="140"/>
      <c r="E1088" s="113"/>
      <c r="F1088" s="113"/>
      <c r="G1088" s="113"/>
      <c r="H1088" s="113"/>
      <c r="I1088" s="113"/>
      <c r="J1088" s="113"/>
      <c r="K1088" s="113"/>
      <c r="L1088" s="113"/>
      <c r="M1088" s="113"/>
      <c r="N1088" s="113"/>
      <c r="O1088" s="113"/>
      <c r="P1088" s="141"/>
    </row>
    <row r="1089" spans="3:16" x14ac:dyDescent="0.35">
      <c r="C1089" s="140"/>
      <c r="D1089" s="140"/>
      <c r="E1089" s="113"/>
      <c r="F1089" s="113"/>
      <c r="G1089" s="113"/>
      <c r="H1089" s="113"/>
      <c r="I1089" s="113"/>
      <c r="J1089" s="113"/>
      <c r="K1089" s="113"/>
      <c r="L1089" s="113"/>
      <c r="M1089" s="113"/>
      <c r="N1089" s="113"/>
      <c r="O1089" s="113"/>
      <c r="P1089" s="141"/>
    </row>
    <row r="1090" spans="3:16" x14ac:dyDescent="0.35">
      <c r="C1090" s="140"/>
      <c r="D1090" s="140"/>
      <c r="E1090" s="113"/>
      <c r="F1090" s="113"/>
      <c r="G1090" s="113"/>
      <c r="H1090" s="113"/>
      <c r="I1090" s="113"/>
      <c r="J1090" s="113"/>
      <c r="K1090" s="113"/>
      <c r="L1090" s="113"/>
      <c r="M1090" s="113"/>
      <c r="N1090" s="113"/>
      <c r="O1090" s="113"/>
      <c r="P1090" s="141"/>
    </row>
    <row r="1091" spans="3:16" x14ac:dyDescent="0.35">
      <c r="C1091" s="140"/>
      <c r="D1091" s="140"/>
      <c r="E1091" s="113"/>
      <c r="F1091" s="113"/>
      <c r="G1091" s="113"/>
      <c r="H1091" s="113"/>
      <c r="I1091" s="113"/>
      <c r="J1091" s="113"/>
      <c r="K1091" s="113"/>
      <c r="L1091" s="113"/>
      <c r="M1091" s="113"/>
      <c r="N1091" s="113"/>
      <c r="O1091" s="113"/>
      <c r="P1091" s="141"/>
    </row>
    <row r="1092" spans="3:16" x14ac:dyDescent="0.35">
      <c r="C1092" s="140"/>
      <c r="D1092" s="140"/>
      <c r="E1092" s="113"/>
      <c r="F1092" s="113"/>
      <c r="G1092" s="113"/>
      <c r="H1092" s="113"/>
      <c r="I1092" s="113"/>
      <c r="J1092" s="113"/>
      <c r="K1092" s="113"/>
      <c r="L1092" s="113"/>
      <c r="M1092" s="113"/>
      <c r="N1092" s="113"/>
      <c r="O1092" s="113"/>
      <c r="P1092" s="141"/>
    </row>
    <row r="1093" spans="3:16" x14ac:dyDescent="0.35">
      <c r="C1093" s="140"/>
      <c r="D1093" s="140"/>
      <c r="E1093" s="113"/>
      <c r="F1093" s="113"/>
      <c r="G1093" s="113"/>
      <c r="H1093" s="113"/>
      <c r="I1093" s="113"/>
      <c r="J1093" s="113"/>
      <c r="K1093" s="113"/>
      <c r="L1093" s="113"/>
      <c r="M1093" s="113"/>
      <c r="N1093" s="113"/>
      <c r="O1093" s="113"/>
      <c r="P1093" s="141"/>
    </row>
    <row r="1094" spans="3:16" x14ac:dyDescent="0.35">
      <c r="C1094" s="140"/>
      <c r="D1094" s="140"/>
      <c r="E1094" s="113"/>
      <c r="F1094" s="113"/>
      <c r="G1094" s="113"/>
      <c r="H1094" s="113"/>
      <c r="I1094" s="113"/>
      <c r="J1094" s="113"/>
      <c r="K1094" s="113"/>
      <c r="L1094" s="113"/>
      <c r="M1094" s="113"/>
      <c r="N1094" s="113"/>
      <c r="O1094" s="113"/>
      <c r="P1094" s="141"/>
    </row>
    <row r="1095" spans="3:16" x14ac:dyDescent="0.35">
      <c r="C1095" s="140"/>
      <c r="D1095" s="140"/>
      <c r="E1095" s="113"/>
      <c r="F1095" s="113"/>
      <c r="G1095" s="113"/>
      <c r="H1095" s="113"/>
      <c r="I1095" s="113"/>
      <c r="J1095" s="113"/>
      <c r="K1095" s="113"/>
      <c r="L1095" s="113"/>
      <c r="M1095" s="113"/>
      <c r="N1095" s="113"/>
      <c r="O1095" s="113"/>
      <c r="P1095" s="141"/>
    </row>
    <row r="1096" spans="3:16" x14ac:dyDescent="0.35">
      <c r="C1096" s="140"/>
      <c r="D1096" s="140"/>
      <c r="E1096" s="113"/>
      <c r="F1096" s="113"/>
      <c r="G1096" s="113"/>
      <c r="H1096" s="113"/>
      <c r="I1096" s="113"/>
      <c r="J1096" s="113"/>
      <c r="K1096" s="113"/>
      <c r="L1096" s="113"/>
      <c r="M1096" s="113"/>
      <c r="N1096" s="113"/>
      <c r="O1096" s="113"/>
      <c r="P1096" s="141"/>
    </row>
    <row r="1097" spans="3:16" x14ac:dyDescent="0.35">
      <c r="C1097" s="140"/>
      <c r="D1097" s="140"/>
      <c r="E1097" s="113"/>
      <c r="F1097" s="113"/>
      <c r="G1097" s="113"/>
      <c r="H1097" s="113"/>
      <c r="I1097" s="113"/>
      <c r="J1097" s="113"/>
      <c r="K1097" s="113"/>
      <c r="L1097" s="113"/>
      <c r="M1097" s="113"/>
      <c r="N1097" s="113"/>
      <c r="O1097" s="113"/>
      <c r="P1097" s="141"/>
    </row>
    <row r="1098" spans="3:16" x14ac:dyDescent="0.35">
      <c r="C1098" s="140"/>
      <c r="D1098" s="140"/>
      <c r="E1098" s="113"/>
      <c r="F1098" s="113"/>
      <c r="G1098" s="113"/>
      <c r="H1098" s="113"/>
      <c r="I1098" s="113"/>
      <c r="J1098" s="113"/>
      <c r="K1098" s="113"/>
      <c r="L1098" s="113"/>
      <c r="M1098" s="113"/>
      <c r="N1098" s="113"/>
      <c r="O1098" s="113"/>
      <c r="P1098" s="141"/>
    </row>
    <row r="1099" spans="3:16" x14ac:dyDescent="0.35">
      <c r="C1099" s="140"/>
      <c r="D1099" s="140"/>
      <c r="E1099" s="113"/>
      <c r="F1099" s="113"/>
      <c r="G1099" s="113"/>
      <c r="H1099" s="113"/>
      <c r="I1099" s="113"/>
      <c r="J1099" s="113"/>
      <c r="K1099" s="113"/>
      <c r="L1099" s="113"/>
      <c r="M1099" s="113"/>
      <c r="N1099" s="113"/>
      <c r="O1099" s="113"/>
      <c r="P1099" s="141"/>
    </row>
    <row r="1100" spans="3:16" x14ac:dyDescent="0.35">
      <c r="C1100" s="140"/>
      <c r="D1100" s="140"/>
      <c r="E1100" s="113"/>
      <c r="F1100" s="113"/>
      <c r="G1100" s="113"/>
      <c r="H1100" s="113"/>
      <c r="I1100" s="113"/>
      <c r="J1100" s="113"/>
      <c r="K1100" s="113"/>
      <c r="L1100" s="113"/>
      <c r="M1100" s="113"/>
      <c r="N1100" s="113"/>
      <c r="O1100" s="113"/>
      <c r="P1100" s="141"/>
    </row>
    <row r="1101" spans="3:16" x14ac:dyDescent="0.35">
      <c r="C1101" s="140"/>
      <c r="D1101" s="140"/>
      <c r="E1101" s="113"/>
      <c r="F1101" s="113"/>
      <c r="G1101" s="113"/>
      <c r="H1101" s="113"/>
      <c r="I1101" s="113"/>
      <c r="J1101" s="113"/>
      <c r="K1101" s="113"/>
      <c r="L1101" s="113"/>
      <c r="M1101" s="113"/>
      <c r="N1101" s="113"/>
      <c r="O1101" s="113"/>
      <c r="P1101" s="141"/>
    </row>
    <row r="1102" spans="3:16" x14ac:dyDescent="0.35">
      <c r="C1102" s="140"/>
      <c r="D1102" s="140"/>
      <c r="E1102" s="113"/>
      <c r="F1102" s="113"/>
      <c r="G1102" s="113"/>
      <c r="H1102" s="113"/>
      <c r="I1102" s="113"/>
      <c r="J1102" s="113"/>
      <c r="K1102" s="113"/>
      <c r="L1102" s="113"/>
      <c r="M1102" s="113"/>
      <c r="N1102" s="113"/>
      <c r="O1102" s="113"/>
      <c r="P1102" s="141"/>
    </row>
    <row r="1103" spans="3:16" x14ac:dyDescent="0.35">
      <c r="C1103" s="140"/>
      <c r="D1103" s="140"/>
      <c r="E1103" s="113"/>
      <c r="F1103" s="113"/>
      <c r="G1103" s="113"/>
      <c r="H1103" s="113"/>
      <c r="I1103" s="113"/>
      <c r="J1103" s="113"/>
      <c r="K1103" s="113"/>
      <c r="L1103" s="113"/>
      <c r="M1103" s="113"/>
      <c r="N1103" s="113"/>
      <c r="O1103" s="113"/>
      <c r="P1103" s="141"/>
    </row>
    <row r="1104" spans="3:16" x14ac:dyDescent="0.35">
      <c r="C1104" s="140"/>
      <c r="D1104" s="140"/>
      <c r="E1104" s="113"/>
      <c r="F1104" s="113"/>
      <c r="G1104" s="113"/>
      <c r="H1104" s="113"/>
      <c r="I1104" s="113"/>
      <c r="J1104" s="113"/>
      <c r="K1104" s="113"/>
      <c r="L1104" s="113"/>
      <c r="M1104" s="113"/>
      <c r="N1104" s="113"/>
      <c r="O1104" s="113"/>
      <c r="P1104" s="141"/>
    </row>
    <row r="1105" spans="3:16" x14ac:dyDescent="0.35">
      <c r="C1105" s="140"/>
      <c r="D1105" s="140"/>
      <c r="E1105" s="113"/>
      <c r="F1105" s="113"/>
      <c r="G1105" s="113"/>
      <c r="H1105" s="113"/>
      <c r="I1105" s="113"/>
      <c r="J1105" s="113"/>
      <c r="K1105" s="113"/>
      <c r="L1105" s="113"/>
      <c r="M1105" s="113"/>
      <c r="N1105" s="113"/>
      <c r="O1105" s="113"/>
      <c r="P1105" s="141"/>
    </row>
    <row r="1106" spans="3:16" x14ac:dyDescent="0.35">
      <c r="C1106" s="140"/>
      <c r="D1106" s="140"/>
      <c r="E1106" s="113"/>
      <c r="F1106" s="113"/>
      <c r="G1106" s="113"/>
      <c r="H1106" s="113"/>
      <c r="I1106" s="113"/>
      <c r="J1106" s="113"/>
      <c r="K1106" s="113"/>
      <c r="L1106" s="113"/>
      <c r="M1106" s="113"/>
      <c r="N1106" s="113"/>
      <c r="O1106" s="113"/>
      <c r="P1106" s="141"/>
    </row>
    <row r="1107" spans="3:16" x14ac:dyDescent="0.35">
      <c r="C1107" s="140"/>
      <c r="D1107" s="140"/>
      <c r="E1107" s="113"/>
      <c r="F1107" s="113"/>
      <c r="G1107" s="113"/>
      <c r="H1107" s="113"/>
      <c r="I1107" s="113"/>
      <c r="J1107" s="113"/>
      <c r="K1107" s="113"/>
      <c r="L1107" s="113"/>
      <c r="M1107" s="113"/>
      <c r="N1107" s="113"/>
      <c r="O1107" s="113"/>
      <c r="P1107" s="141"/>
    </row>
    <row r="1108" spans="3:16" x14ac:dyDescent="0.35">
      <c r="C1108" s="140"/>
      <c r="D1108" s="140"/>
      <c r="E1108" s="113"/>
      <c r="F1108" s="113"/>
      <c r="G1108" s="113"/>
      <c r="H1108" s="113"/>
      <c r="I1108" s="113"/>
      <c r="J1108" s="113"/>
      <c r="K1108" s="113"/>
      <c r="L1108" s="113"/>
      <c r="M1108" s="113"/>
      <c r="N1108" s="113"/>
      <c r="O1108" s="113"/>
      <c r="P1108" s="141"/>
    </row>
    <row r="1109" spans="3:16" x14ac:dyDescent="0.35">
      <c r="C1109" s="140"/>
      <c r="D1109" s="140"/>
      <c r="E1109" s="113"/>
      <c r="F1109" s="113"/>
      <c r="G1109" s="113"/>
      <c r="H1109" s="113"/>
      <c r="I1109" s="113"/>
      <c r="J1109" s="113"/>
      <c r="K1109" s="113"/>
      <c r="L1109" s="113"/>
      <c r="M1109" s="113"/>
      <c r="N1109" s="113"/>
      <c r="O1109" s="113"/>
      <c r="P1109" s="141"/>
    </row>
    <row r="1110" spans="3:16" x14ac:dyDescent="0.35">
      <c r="C1110" s="140"/>
      <c r="D1110" s="140"/>
      <c r="E1110" s="113"/>
      <c r="F1110" s="113"/>
      <c r="G1110" s="113"/>
      <c r="H1110" s="113"/>
      <c r="I1110" s="113"/>
      <c r="J1110" s="113"/>
      <c r="K1110" s="113"/>
      <c r="L1110" s="113"/>
      <c r="M1110" s="113"/>
      <c r="N1110" s="113"/>
      <c r="O1110" s="113"/>
      <c r="P1110" s="141"/>
    </row>
    <row r="1111" spans="3:16" x14ac:dyDescent="0.35">
      <c r="C1111" s="140"/>
      <c r="D1111" s="140"/>
      <c r="E1111" s="113"/>
      <c r="F1111" s="113"/>
      <c r="G1111" s="113"/>
      <c r="H1111" s="113"/>
      <c r="I1111" s="113"/>
      <c r="J1111" s="113"/>
      <c r="K1111" s="113"/>
      <c r="L1111" s="113"/>
      <c r="M1111" s="113"/>
      <c r="N1111" s="113"/>
      <c r="O1111" s="113"/>
      <c r="P1111" s="141"/>
    </row>
    <row r="1112" spans="3:16" x14ac:dyDescent="0.35">
      <c r="C1112" s="140"/>
      <c r="D1112" s="140"/>
      <c r="E1112" s="113"/>
      <c r="F1112" s="113"/>
      <c r="G1112" s="113"/>
      <c r="H1112" s="113"/>
      <c r="I1112" s="113"/>
      <c r="J1112" s="113"/>
      <c r="K1112" s="113"/>
      <c r="L1112" s="113"/>
      <c r="M1112" s="113"/>
      <c r="N1112" s="113"/>
      <c r="O1112" s="113"/>
      <c r="P1112" s="141"/>
    </row>
    <row r="1113" spans="3:16" x14ac:dyDescent="0.35">
      <c r="C1113" s="140"/>
      <c r="D1113" s="140"/>
      <c r="E1113" s="113"/>
      <c r="F1113" s="113"/>
      <c r="G1113" s="113"/>
      <c r="H1113" s="113"/>
      <c r="I1113" s="113"/>
      <c r="J1113" s="113"/>
      <c r="K1113" s="113"/>
      <c r="L1113" s="113"/>
      <c r="M1113" s="113"/>
      <c r="N1113" s="113"/>
      <c r="O1113" s="113"/>
      <c r="P1113" s="141"/>
    </row>
    <row r="1114" spans="3:16" x14ac:dyDescent="0.35">
      <c r="C1114" s="140"/>
      <c r="D1114" s="140"/>
      <c r="E1114" s="113"/>
      <c r="F1114" s="113"/>
      <c r="G1114" s="113"/>
      <c r="H1114" s="113"/>
      <c r="I1114" s="113"/>
      <c r="J1114" s="113"/>
      <c r="K1114" s="113"/>
      <c r="L1114" s="113"/>
      <c r="M1114" s="113"/>
      <c r="N1114" s="113"/>
      <c r="O1114" s="113"/>
      <c r="P1114" s="141"/>
    </row>
    <row r="1115" spans="3:16" x14ac:dyDescent="0.35">
      <c r="C1115" s="140"/>
      <c r="D1115" s="140"/>
      <c r="E1115" s="113"/>
      <c r="F1115" s="113"/>
      <c r="G1115" s="113"/>
      <c r="H1115" s="113"/>
      <c r="I1115" s="113"/>
      <c r="J1115" s="113"/>
      <c r="K1115" s="113"/>
      <c r="L1115" s="113"/>
      <c r="M1115" s="113"/>
      <c r="N1115" s="113"/>
      <c r="O1115" s="113"/>
      <c r="P1115" s="141"/>
    </row>
    <row r="1116" spans="3:16" x14ac:dyDescent="0.35">
      <c r="C1116" s="140"/>
      <c r="D1116" s="140"/>
      <c r="E1116" s="113"/>
      <c r="F1116" s="113"/>
      <c r="G1116" s="113"/>
      <c r="H1116" s="113"/>
      <c r="I1116" s="113"/>
      <c r="J1116" s="113"/>
      <c r="K1116" s="113"/>
      <c r="L1116" s="113"/>
      <c r="M1116" s="113"/>
      <c r="N1116" s="113"/>
      <c r="O1116" s="113"/>
      <c r="P1116" s="141"/>
    </row>
    <row r="1117" spans="3:16" x14ac:dyDescent="0.35">
      <c r="C1117" s="140"/>
      <c r="D1117" s="140"/>
      <c r="E1117" s="113"/>
      <c r="F1117" s="113"/>
      <c r="G1117" s="113"/>
      <c r="H1117" s="113"/>
      <c r="I1117" s="113"/>
      <c r="J1117" s="113"/>
      <c r="K1117" s="113"/>
      <c r="L1117" s="113"/>
      <c r="M1117" s="113"/>
      <c r="N1117" s="113"/>
      <c r="O1117" s="113"/>
      <c r="P1117" s="141"/>
    </row>
    <row r="1118" spans="3:16" x14ac:dyDescent="0.35">
      <c r="C1118" s="140"/>
      <c r="D1118" s="140"/>
      <c r="E1118" s="113"/>
      <c r="F1118" s="113"/>
      <c r="G1118" s="113"/>
      <c r="H1118" s="113"/>
      <c r="I1118" s="113"/>
      <c r="J1118" s="113"/>
      <c r="K1118" s="113"/>
      <c r="L1118" s="113"/>
      <c r="M1118" s="113"/>
      <c r="N1118" s="113"/>
      <c r="O1118" s="113"/>
      <c r="P1118" s="141"/>
    </row>
    <row r="1119" spans="3:16" x14ac:dyDescent="0.35">
      <c r="C1119" s="140"/>
      <c r="D1119" s="140"/>
      <c r="E1119" s="113"/>
      <c r="F1119" s="113"/>
      <c r="G1119" s="113"/>
      <c r="H1119" s="113"/>
      <c r="I1119" s="113"/>
      <c r="J1119" s="113"/>
      <c r="K1119" s="113"/>
      <c r="L1119" s="113"/>
      <c r="M1119" s="113"/>
      <c r="N1119" s="113"/>
      <c r="O1119" s="113"/>
      <c r="P1119" s="141"/>
    </row>
    <row r="1120" spans="3:16" x14ac:dyDescent="0.35">
      <c r="C1120" s="140"/>
      <c r="D1120" s="140"/>
      <c r="E1120" s="113"/>
      <c r="F1120" s="113"/>
      <c r="G1120" s="113"/>
      <c r="H1120" s="113"/>
      <c r="I1120" s="113"/>
      <c r="J1120" s="113"/>
      <c r="K1120" s="113"/>
      <c r="L1120" s="113"/>
      <c r="M1120" s="113"/>
      <c r="N1120" s="113"/>
      <c r="O1120" s="113"/>
      <c r="P1120" s="141"/>
    </row>
    <row r="1121" spans="3:16" x14ac:dyDescent="0.35">
      <c r="C1121" s="140"/>
      <c r="D1121" s="140"/>
      <c r="E1121" s="113"/>
      <c r="F1121" s="113"/>
      <c r="G1121" s="113"/>
      <c r="H1121" s="113"/>
      <c r="I1121" s="113"/>
      <c r="J1121" s="113"/>
      <c r="K1121" s="113"/>
      <c r="L1121" s="113"/>
      <c r="M1121" s="113"/>
      <c r="N1121" s="113"/>
      <c r="O1121" s="113"/>
      <c r="P1121" s="141"/>
    </row>
    <row r="1122" spans="3:16" x14ac:dyDescent="0.35">
      <c r="C1122" s="140"/>
      <c r="D1122" s="140"/>
      <c r="E1122" s="113"/>
      <c r="F1122" s="113"/>
      <c r="G1122" s="113"/>
      <c r="H1122" s="113"/>
      <c r="I1122" s="113"/>
      <c r="J1122" s="113"/>
      <c r="K1122" s="113"/>
      <c r="L1122" s="113"/>
      <c r="M1122" s="113"/>
      <c r="N1122" s="113"/>
      <c r="O1122" s="113"/>
      <c r="P1122" s="141"/>
    </row>
    <row r="1123" spans="3:16" x14ac:dyDescent="0.35">
      <c r="C1123" s="140"/>
      <c r="D1123" s="140"/>
      <c r="E1123" s="113"/>
      <c r="F1123" s="113"/>
      <c r="G1123" s="113"/>
      <c r="H1123" s="113"/>
      <c r="I1123" s="113"/>
      <c r="J1123" s="113"/>
      <c r="K1123" s="113"/>
      <c r="L1123" s="113"/>
      <c r="M1123" s="113"/>
      <c r="N1123" s="113"/>
      <c r="O1123" s="113"/>
      <c r="P1123" s="141"/>
    </row>
    <row r="1124" spans="3:16" x14ac:dyDescent="0.35">
      <c r="C1124" s="140"/>
      <c r="D1124" s="140"/>
      <c r="E1124" s="113"/>
      <c r="F1124" s="113"/>
      <c r="G1124" s="113"/>
      <c r="H1124" s="113"/>
      <c r="I1124" s="113"/>
      <c r="J1124" s="113"/>
      <c r="K1124" s="113"/>
      <c r="L1124" s="113"/>
      <c r="M1124" s="113"/>
      <c r="N1124" s="113"/>
      <c r="O1124" s="113"/>
      <c r="P1124" s="141"/>
    </row>
    <row r="1125" spans="3:16" x14ac:dyDescent="0.35">
      <c r="C1125" s="140"/>
      <c r="D1125" s="140"/>
      <c r="E1125" s="113"/>
      <c r="F1125" s="113"/>
      <c r="G1125" s="113"/>
      <c r="H1125" s="113"/>
      <c r="I1125" s="113"/>
      <c r="J1125" s="113"/>
      <c r="K1125" s="113"/>
      <c r="L1125" s="113"/>
      <c r="M1125" s="113"/>
      <c r="N1125" s="113"/>
      <c r="O1125" s="113"/>
      <c r="P1125" s="141"/>
    </row>
    <row r="1126" spans="3:16" x14ac:dyDescent="0.35">
      <c r="C1126" s="140"/>
      <c r="D1126" s="140"/>
      <c r="E1126" s="113"/>
      <c r="F1126" s="113"/>
      <c r="G1126" s="113"/>
      <c r="H1126" s="113"/>
      <c r="I1126" s="113"/>
      <c r="J1126" s="113"/>
      <c r="K1126" s="113"/>
      <c r="L1126" s="113"/>
      <c r="M1126" s="113"/>
      <c r="N1126" s="113"/>
      <c r="O1126" s="113"/>
      <c r="P1126" s="141"/>
    </row>
    <row r="1127" spans="3:16" x14ac:dyDescent="0.35">
      <c r="C1127" s="140"/>
      <c r="D1127" s="140"/>
      <c r="E1127" s="113"/>
      <c r="F1127" s="113"/>
      <c r="G1127" s="113"/>
      <c r="H1127" s="113"/>
      <c r="I1127" s="113"/>
      <c r="J1127" s="113"/>
      <c r="K1127" s="113"/>
      <c r="L1127" s="113"/>
      <c r="M1127" s="113"/>
      <c r="N1127" s="113"/>
      <c r="O1127" s="113"/>
      <c r="P1127" s="141"/>
    </row>
    <row r="1128" spans="3:16" x14ac:dyDescent="0.35">
      <c r="C1128" s="140"/>
      <c r="D1128" s="140"/>
      <c r="E1128" s="113"/>
      <c r="F1128" s="113"/>
      <c r="G1128" s="113"/>
      <c r="H1128" s="113"/>
      <c r="I1128" s="113"/>
      <c r="J1128" s="113"/>
      <c r="K1128" s="113"/>
      <c r="L1128" s="113"/>
      <c r="M1128" s="113"/>
      <c r="N1128" s="113"/>
      <c r="O1128" s="113"/>
      <c r="P1128" s="141"/>
    </row>
    <row r="1129" spans="3:16" x14ac:dyDescent="0.35">
      <c r="C1129" s="140"/>
      <c r="D1129" s="140"/>
      <c r="E1129" s="113"/>
      <c r="F1129" s="113"/>
      <c r="G1129" s="113"/>
      <c r="H1129" s="113"/>
      <c r="I1129" s="113"/>
      <c r="J1129" s="113"/>
      <c r="K1129" s="113"/>
      <c r="L1129" s="113"/>
      <c r="M1129" s="113"/>
      <c r="N1129" s="113"/>
      <c r="O1129" s="113"/>
      <c r="P1129" s="141"/>
    </row>
    <row r="1130" spans="3:16" x14ac:dyDescent="0.35">
      <c r="C1130" s="140"/>
      <c r="D1130" s="140"/>
      <c r="E1130" s="113"/>
      <c r="F1130" s="113"/>
      <c r="G1130" s="113"/>
      <c r="H1130" s="113"/>
      <c r="I1130" s="113"/>
      <c r="J1130" s="113"/>
      <c r="K1130" s="113"/>
      <c r="L1130" s="113"/>
      <c r="M1130" s="113"/>
      <c r="N1130" s="113"/>
      <c r="O1130" s="113"/>
      <c r="P1130" s="141"/>
    </row>
    <row r="1131" spans="3:16" x14ac:dyDescent="0.35">
      <c r="C1131" s="140"/>
      <c r="D1131" s="140"/>
      <c r="E1131" s="113"/>
      <c r="F1131" s="113"/>
      <c r="G1131" s="113"/>
      <c r="H1131" s="113"/>
      <c r="I1131" s="113"/>
      <c r="J1131" s="113"/>
      <c r="K1131" s="113"/>
      <c r="L1131" s="113"/>
      <c r="M1131" s="113"/>
      <c r="N1131" s="113"/>
      <c r="O1131" s="113"/>
      <c r="P1131" s="141"/>
    </row>
    <row r="1132" spans="3:16" x14ac:dyDescent="0.35">
      <c r="C1132" s="140"/>
      <c r="D1132" s="140"/>
      <c r="E1132" s="113"/>
      <c r="F1132" s="113"/>
      <c r="G1132" s="113"/>
      <c r="H1132" s="113"/>
      <c r="I1132" s="113"/>
      <c r="J1132" s="113"/>
      <c r="K1132" s="113"/>
      <c r="L1132" s="113"/>
      <c r="M1132" s="113"/>
      <c r="N1132" s="113"/>
      <c r="O1132" s="113"/>
      <c r="P1132" s="141"/>
    </row>
    <row r="1133" spans="3:16" x14ac:dyDescent="0.35">
      <c r="C1133" s="140"/>
      <c r="D1133" s="140"/>
      <c r="E1133" s="113"/>
      <c r="F1133" s="113"/>
      <c r="G1133" s="113"/>
      <c r="H1133" s="113"/>
      <c r="I1133" s="113"/>
      <c r="J1133" s="113"/>
      <c r="K1133" s="113"/>
      <c r="L1133" s="113"/>
      <c r="M1133" s="113"/>
      <c r="N1133" s="113"/>
      <c r="O1133" s="113"/>
      <c r="P1133" s="141"/>
    </row>
    <row r="1134" spans="3:16" x14ac:dyDescent="0.35">
      <c r="C1134" s="140"/>
      <c r="D1134" s="140"/>
      <c r="E1134" s="113"/>
      <c r="F1134" s="113"/>
      <c r="G1134" s="113"/>
      <c r="H1134" s="113"/>
      <c r="I1134" s="113"/>
      <c r="J1134" s="113"/>
      <c r="K1134" s="113"/>
      <c r="L1134" s="113"/>
      <c r="M1134" s="113"/>
      <c r="N1134" s="113"/>
      <c r="O1134" s="113"/>
      <c r="P1134" s="141"/>
    </row>
    <row r="1135" spans="3:16" x14ac:dyDescent="0.35">
      <c r="C1135" s="140"/>
      <c r="D1135" s="140"/>
      <c r="E1135" s="113"/>
      <c r="F1135" s="113"/>
      <c r="G1135" s="113"/>
      <c r="H1135" s="113"/>
      <c r="I1135" s="113"/>
      <c r="J1135" s="113"/>
      <c r="K1135" s="113"/>
      <c r="L1135" s="113"/>
      <c r="M1135" s="113"/>
      <c r="N1135" s="113"/>
      <c r="O1135" s="113"/>
      <c r="P1135" s="141"/>
    </row>
    <row r="1136" spans="3:16" x14ac:dyDescent="0.35">
      <c r="C1136" s="140"/>
      <c r="D1136" s="140"/>
      <c r="E1136" s="113"/>
      <c r="F1136" s="113"/>
      <c r="G1136" s="113"/>
      <c r="H1136" s="113"/>
      <c r="I1136" s="113"/>
      <c r="J1136" s="113"/>
      <c r="K1136" s="113"/>
      <c r="L1136" s="113"/>
      <c r="M1136" s="113"/>
      <c r="N1136" s="113"/>
      <c r="O1136" s="113"/>
      <c r="P1136" s="141"/>
    </row>
    <row r="1137" spans="3:16" x14ac:dyDescent="0.35">
      <c r="C1137" s="140"/>
      <c r="D1137" s="140"/>
      <c r="E1137" s="113"/>
      <c r="F1137" s="113"/>
      <c r="G1137" s="113"/>
      <c r="H1137" s="113"/>
      <c r="I1137" s="113"/>
      <c r="J1137" s="113"/>
      <c r="K1137" s="113"/>
      <c r="L1137" s="113"/>
      <c r="M1137" s="113"/>
      <c r="N1137" s="113"/>
      <c r="O1137" s="113"/>
      <c r="P1137" s="141"/>
    </row>
    <row r="1138" spans="3:16" x14ac:dyDescent="0.35">
      <c r="C1138" s="140"/>
      <c r="D1138" s="140"/>
      <c r="E1138" s="113"/>
      <c r="F1138" s="113"/>
      <c r="G1138" s="113"/>
      <c r="H1138" s="113"/>
      <c r="I1138" s="113"/>
      <c r="J1138" s="113"/>
      <c r="K1138" s="113"/>
      <c r="L1138" s="113"/>
      <c r="M1138" s="113"/>
      <c r="N1138" s="113"/>
      <c r="O1138" s="113"/>
      <c r="P1138" s="141"/>
    </row>
    <row r="1139" spans="3:16" x14ac:dyDescent="0.35">
      <c r="C1139" s="140"/>
      <c r="D1139" s="140"/>
      <c r="E1139" s="113"/>
      <c r="F1139" s="113"/>
      <c r="G1139" s="113"/>
      <c r="H1139" s="113"/>
      <c r="I1139" s="113"/>
      <c r="J1139" s="113"/>
      <c r="K1139" s="113"/>
      <c r="L1139" s="113"/>
      <c r="M1139" s="113"/>
      <c r="N1139" s="113"/>
      <c r="O1139" s="113"/>
      <c r="P1139" s="141"/>
    </row>
    <row r="1140" spans="3:16" x14ac:dyDescent="0.35">
      <c r="C1140" s="140"/>
      <c r="D1140" s="140"/>
      <c r="E1140" s="113"/>
      <c r="F1140" s="113"/>
      <c r="G1140" s="113"/>
      <c r="H1140" s="113"/>
      <c r="I1140" s="113"/>
      <c r="J1140" s="113"/>
      <c r="K1140" s="113"/>
      <c r="L1140" s="113"/>
      <c r="M1140" s="113"/>
      <c r="N1140" s="113"/>
      <c r="O1140" s="113"/>
      <c r="P1140" s="141"/>
    </row>
    <row r="1141" spans="3:16" x14ac:dyDescent="0.35">
      <c r="C1141" s="140"/>
      <c r="D1141" s="140"/>
      <c r="E1141" s="113"/>
      <c r="F1141" s="113"/>
      <c r="G1141" s="113"/>
      <c r="H1141" s="113"/>
      <c r="I1141" s="113"/>
      <c r="J1141" s="113"/>
      <c r="K1141" s="113"/>
      <c r="L1141" s="113"/>
      <c r="M1141" s="113"/>
      <c r="N1141" s="113"/>
      <c r="O1141" s="113"/>
      <c r="P1141" s="141"/>
    </row>
    <row r="1142" spans="3:16" x14ac:dyDescent="0.35">
      <c r="C1142" s="140"/>
      <c r="D1142" s="140"/>
      <c r="E1142" s="113"/>
      <c r="F1142" s="113"/>
      <c r="G1142" s="113"/>
      <c r="H1142" s="113"/>
      <c r="I1142" s="113"/>
      <c r="J1142" s="113"/>
      <c r="K1142" s="113"/>
      <c r="L1142" s="113"/>
      <c r="M1142" s="113"/>
      <c r="N1142" s="113"/>
      <c r="O1142" s="113"/>
      <c r="P1142" s="141"/>
    </row>
    <row r="1143" spans="3:16" x14ac:dyDescent="0.35">
      <c r="C1143" s="140"/>
      <c r="D1143" s="140"/>
      <c r="E1143" s="113"/>
      <c r="F1143" s="113"/>
      <c r="G1143" s="113"/>
      <c r="H1143" s="113"/>
      <c r="I1143" s="113"/>
      <c r="J1143" s="113"/>
      <c r="K1143" s="113"/>
      <c r="L1143" s="113"/>
      <c r="M1143" s="113"/>
      <c r="N1143" s="113"/>
      <c r="O1143" s="113"/>
      <c r="P1143" s="141"/>
    </row>
    <row r="1144" spans="3:16" x14ac:dyDescent="0.35">
      <c r="C1144" s="140"/>
      <c r="D1144" s="140"/>
      <c r="E1144" s="113"/>
      <c r="F1144" s="113"/>
      <c r="G1144" s="113"/>
      <c r="H1144" s="113"/>
      <c r="I1144" s="113"/>
      <c r="J1144" s="113"/>
      <c r="K1144" s="113"/>
      <c r="L1144" s="113"/>
      <c r="M1144" s="113"/>
      <c r="N1144" s="113"/>
      <c r="O1144" s="113"/>
      <c r="P1144" s="141"/>
    </row>
    <row r="1145" spans="3:16" x14ac:dyDescent="0.35">
      <c r="C1145" s="140"/>
      <c r="D1145" s="140"/>
      <c r="E1145" s="113"/>
      <c r="F1145" s="113"/>
      <c r="G1145" s="113"/>
      <c r="H1145" s="113"/>
      <c r="I1145" s="113"/>
      <c r="J1145" s="113"/>
      <c r="K1145" s="113"/>
      <c r="L1145" s="113"/>
      <c r="M1145" s="113"/>
      <c r="N1145" s="113"/>
      <c r="O1145" s="113"/>
      <c r="P1145" s="141"/>
    </row>
    <row r="1146" spans="3:16" x14ac:dyDescent="0.35">
      <c r="C1146" s="140"/>
      <c r="D1146" s="140"/>
      <c r="E1146" s="113"/>
      <c r="F1146" s="113"/>
      <c r="G1146" s="113"/>
      <c r="H1146" s="113"/>
      <c r="I1146" s="113"/>
      <c r="J1146" s="113"/>
      <c r="K1146" s="113"/>
      <c r="L1146" s="113"/>
      <c r="M1146" s="113"/>
      <c r="N1146" s="113"/>
      <c r="O1146" s="113"/>
      <c r="P1146" s="141"/>
    </row>
    <row r="1147" spans="3:16" x14ac:dyDescent="0.35">
      <c r="C1147" s="140"/>
      <c r="D1147" s="140"/>
      <c r="E1147" s="113"/>
      <c r="F1147" s="113"/>
      <c r="G1147" s="113"/>
      <c r="H1147" s="113"/>
      <c r="I1147" s="113"/>
      <c r="J1147" s="113"/>
      <c r="K1147" s="113"/>
      <c r="L1147" s="113"/>
      <c r="M1147" s="113"/>
      <c r="N1147" s="113"/>
      <c r="O1147" s="113"/>
      <c r="P1147" s="141"/>
    </row>
    <row r="1148" spans="3:16" x14ac:dyDescent="0.35">
      <c r="C1148" s="140"/>
      <c r="D1148" s="140"/>
      <c r="E1148" s="113"/>
      <c r="F1148" s="113"/>
      <c r="G1148" s="113"/>
      <c r="H1148" s="113"/>
      <c r="I1148" s="113"/>
      <c r="J1148" s="113"/>
      <c r="K1148" s="113"/>
      <c r="L1148" s="113"/>
      <c r="M1148" s="113"/>
      <c r="N1148" s="113"/>
      <c r="O1148" s="113"/>
      <c r="P1148" s="141"/>
    </row>
    <row r="1149" spans="3:16" x14ac:dyDescent="0.35">
      <c r="C1149" s="140"/>
      <c r="D1149" s="140"/>
      <c r="E1149" s="113"/>
      <c r="F1149" s="113"/>
      <c r="G1149" s="113"/>
      <c r="H1149" s="113"/>
      <c r="I1149" s="113"/>
      <c r="J1149" s="113"/>
      <c r="K1149" s="113"/>
      <c r="L1149" s="113"/>
      <c r="M1149" s="113"/>
      <c r="N1149" s="113"/>
      <c r="O1149" s="113"/>
      <c r="P1149" s="141"/>
    </row>
    <row r="1150" spans="3:16" x14ac:dyDescent="0.35">
      <c r="C1150" s="140"/>
      <c r="D1150" s="140"/>
      <c r="E1150" s="113"/>
      <c r="F1150" s="113"/>
      <c r="G1150" s="113"/>
      <c r="H1150" s="113"/>
      <c r="I1150" s="113"/>
      <c r="J1150" s="113"/>
      <c r="K1150" s="113"/>
      <c r="L1150" s="113"/>
      <c r="M1150" s="113"/>
      <c r="N1150" s="113"/>
      <c r="O1150" s="113"/>
      <c r="P1150" s="141"/>
    </row>
    <row r="1151" spans="3:16" x14ac:dyDescent="0.35">
      <c r="C1151" s="140"/>
      <c r="D1151" s="140"/>
      <c r="E1151" s="113"/>
      <c r="F1151" s="113"/>
      <c r="G1151" s="113"/>
      <c r="H1151" s="113"/>
      <c r="I1151" s="113"/>
      <c r="J1151" s="113"/>
      <c r="K1151" s="113"/>
      <c r="L1151" s="113"/>
      <c r="M1151" s="113"/>
      <c r="N1151" s="113"/>
      <c r="O1151" s="113"/>
      <c r="P1151" s="141"/>
    </row>
    <row r="1152" spans="3:16" x14ac:dyDescent="0.35">
      <c r="C1152" s="140"/>
      <c r="D1152" s="140"/>
      <c r="E1152" s="113"/>
      <c r="F1152" s="113"/>
      <c r="G1152" s="113"/>
      <c r="H1152" s="113"/>
      <c r="I1152" s="113"/>
      <c r="J1152" s="113"/>
      <c r="K1152" s="113"/>
      <c r="L1152" s="113"/>
      <c r="M1152" s="113"/>
      <c r="N1152" s="113"/>
      <c r="O1152" s="113"/>
      <c r="P1152" s="141"/>
    </row>
    <row r="1153" spans="3:16" x14ac:dyDescent="0.35">
      <c r="C1153" s="140"/>
      <c r="D1153" s="140"/>
      <c r="E1153" s="113"/>
      <c r="F1153" s="113"/>
      <c r="G1153" s="113"/>
      <c r="H1153" s="113"/>
      <c r="I1153" s="113"/>
      <c r="J1153" s="113"/>
      <c r="K1153" s="113"/>
      <c r="L1153" s="113"/>
      <c r="M1153" s="113"/>
      <c r="N1153" s="113"/>
      <c r="O1153" s="113"/>
      <c r="P1153" s="141"/>
    </row>
    <row r="1154" spans="3:16" x14ac:dyDescent="0.35">
      <c r="C1154" s="140"/>
      <c r="D1154" s="140"/>
      <c r="E1154" s="113"/>
      <c r="F1154" s="113"/>
      <c r="G1154" s="113"/>
      <c r="H1154" s="113"/>
      <c r="I1154" s="113"/>
      <c r="J1154" s="113"/>
      <c r="K1154" s="113"/>
      <c r="L1154" s="113"/>
      <c r="M1154" s="113"/>
      <c r="N1154" s="113"/>
      <c r="O1154" s="113"/>
      <c r="P1154" s="141"/>
    </row>
    <row r="1155" spans="3:16" x14ac:dyDescent="0.35">
      <c r="C1155" s="140"/>
      <c r="D1155" s="140"/>
      <c r="E1155" s="113"/>
      <c r="F1155" s="113"/>
      <c r="G1155" s="113"/>
      <c r="H1155" s="113"/>
      <c r="I1155" s="113"/>
      <c r="J1155" s="113"/>
      <c r="K1155" s="113"/>
      <c r="L1155" s="113"/>
      <c r="M1155" s="113"/>
      <c r="N1155" s="113"/>
      <c r="O1155" s="113"/>
      <c r="P1155" s="141"/>
    </row>
    <row r="1156" spans="3:16" x14ac:dyDescent="0.35">
      <c r="C1156" s="140"/>
      <c r="D1156" s="140"/>
      <c r="E1156" s="113"/>
      <c r="F1156" s="113"/>
      <c r="G1156" s="113"/>
      <c r="H1156" s="113"/>
      <c r="I1156" s="113"/>
      <c r="J1156" s="113"/>
      <c r="K1156" s="113"/>
      <c r="L1156" s="113"/>
      <c r="M1156" s="113"/>
      <c r="N1156" s="113"/>
      <c r="O1156" s="113"/>
      <c r="P1156" s="141"/>
    </row>
    <row r="1157" spans="3:16" x14ac:dyDescent="0.35">
      <c r="C1157" s="140"/>
      <c r="D1157" s="140"/>
      <c r="E1157" s="113"/>
      <c r="F1157" s="113"/>
      <c r="G1157" s="113"/>
      <c r="H1157" s="113"/>
      <c r="I1157" s="113"/>
      <c r="J1157" s="113"/>
      <c r="K1157" s="113"/>
      <c r="L1157" s="113"/>
      <c r="M1157" s="113"/>
      <c r="N1157" s="113"/>
      <c r="O1157" s="113"/>
      <c r="P1157" s="141"/>
    </row>
    <row r="1158" spans="3:16" x14ac:dyDescent="0.35">
      <c r="C1158" s="140"/>
      <c r="D1158" s="140"/>
      <c r="E1158" s="113"/>
      <c r="F1158" s="113"/>
      <c r="G1158" s="113"/>
      <c r="H1158" s="113"/>
      <c r="I1158" s="113"/>
      <c r="J1158" s="113"/>
      <c r="K1158" s="113"/>
      <c r="L1158" s="113"/>
      <c r="M1158" s="113"/>
      <c r="N1158" s="113"/>
      <c r="O1158" s="113"/>
      <c r="P1158" s="141"/>
    </row>
    <row r="1159" spans="3:16" x14ac:dyDescent="0.35">
      <c r="C1159" s="140"/>
      <c r="D1159" s="140"/>
      <c r="E1159" s="113"/>
      <c r="F1159" s="113"/>
      <c r="G1159" s="113"/>
      <c r="H1159" s="113"/>
      <c r="I1159" s="113"/>
      <c r="J1159" s="113"/>
      <c r="K1159" s="113"/>
      <c r="L1159" s="113"/>
      <c r="M1159" s="113"/>
      <c r="N1159" s="113"/>
      <c r="O1159" s="113"/>
      <c r="P1159" s="141"/>
    </row>
    <row r="1160" spans="3:16" x14ac:dyDescent="0.35">
      <c r="C1160" s="140"/>
      <c r="D1160" s="140"/>
      <c r="E1160" s="113"/>
      <c r="F1160" s="113"/>
      <c r="G1160" s="113"/>
      <c r="H1160" s="113"/>
      <c r="I1160" s="113"/>
      <c r="J1160" s="113"/>
      <c r="K1160" s="113"/>
      <c r="L1160" s="113"/>
      <c r="M1160" s="113"/>
      <c r="N1160" s="113"/>
      <c r="O1160" s="113"/>
      <c r="P1160" s="141"/>
    </row>
    <row r="1161" spans="3:16" x14ac:dyDescent="0.35">
      <c r="C1161" s="140"/>
      <c r="D1161" s="140"/>
      <c r="E1161" s="113"/>
      <c r="F1161" s="113"/>
      <c r="G1161" s="113"/>
      <c r="H1161" s="113"/>
      <c r="I1161" s="113"/>
      <c r="J1161" s="113"/>
      <c r="K1161" s="113"/>
      <c r="L1161" s="113"/>
      <c r="M1161" s="113"/>
      <c r="N1161" s="113"/>
      <c r="O1161" s="113"/>
      <c r="P1161" s="141"/>
    </row>
    <row r="1162" spans="3:16" x14ac:dyDescent="0.35">
      <c r="C1162" s="140"/>
      <c r="D1162" s="140"/>
      <c r="E1162" s="113"/>
      <c r="F1162" s="113"/>
      <c r="G1162" s="113"/>
      <c r="H1162" s="113"/>
      <c r="I1162" s="113"/>
      <c r="J1162" s="113"/>
      <c r="K1162" s="113"/>
      <c r="L1162" s="113"/>
      <c r="M1162" s="113"/>
      <c r="N1162" s="113"/>
      <c r="O1162" s="113"/>
      <c r="P1162" s="141"/>
    </row>
  </sheetData>
  <autoFilter ref="B8:AD8" xr:uid="{FE66618F-3998-43F8-9132-2B6EF02963BB}"/>
  <dataValidations count="1">
    <dataValidation type="list" allowBlank="1" showInputMessage="1" showErrorMessage="1" sqref="C9:C738" xr:uid="{6AC44E30-9A19-4837-99A8-9E22C233FF04}">
      <formula1>$AG$9:$AG$16</formula1>
    </dataValidation>
  </dataValidations>
  <pageMargins left="0.7" right="0.7" top="0.75" bottom="0.75" header="0.3" footer="0.3"/>
  <pageSetup scale="2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0B7A-F7BE-47C7-8E20-3BF21720B2CF}">
  <sheetPr>
    <tabColor theme="4" tint="0.79998168889431442"/>
    <pageSetUpPr fitToPage="1"/>
  </sheetPr>
  <dimension ref="B1:AU869"/>
  <sheetViews>
    <sheetView showGridLines="0" topLeftCell="A7" zoomScale="85" zoomScaleNormal="85" workbookViewId="0">
      <selection activeCell="F8" sqref="F8"/>
    </sheetView>
  </sheetViews>
  <sheetFormatPr defaultColWidth="9.453125" defaultRowHeight="14.5" x14ac:dyDescent="0.35"/>
  <cols>
    <col min="1" max="1" width="9.453125" style="177"/>
    <col min="2" max="2" width="13.81640625" style="176" bestFit="1" customWidth="1"/>
    <col min="3" max="3" width="20.6328125" style="176" customWidth="1"/>
    <col min="4" max="4" width="17.26953125" style="176" bestFit="1" customWidth="1"/>
    <col min="5" max="5" width="20.26953125" style="177" bestFit="1" customWidth="1"/>
    <col min="6" max="6" width="14.81640625" style="176" bestFit="1" customWidth="1"/>
    <col min="7" max="7" width="10.7265625" style="176" bestFit="1" customWidth="1"/>
    <col min="8" max="8" width="19" style="178" bestFit="1" customWidth="1"/>
    <col min="9" max="9" width="19" style="179" customWidth="1"/>
    <col min="10" max="10" width="20" style="178" bestFit="1" customWidth="1"/>
    <col min="11" max="11" width="23.26953125" style="180" customWidth="1"/>
    <col min="12" max="12" width="22.26953125" style="180" customWidth="1"/>
    <col min="13" max="13" width="28.81640625" style="185" customWidth="1"/>
    <col min="14" max="14" width="23.81640625" style="182" bestFit="1" customWidth="1"/>
    <col min="15" max="15" width="20" style="182" bestFit="1" customWidth="1"/>
    <col min="16" max="16" width="26.1796875" style="176" bestFit="1" customWidth="1"/>
    <col min="17" max="17" width="16.54296875" style="177" customWidth="1"/>
    <col min="18" max="18" width="20.81640625" style="177" bestFit="1" customWidth="1"/>
    <col min="19" max="19" width="14.453125" style="177" bestFit="1" customWidth="1"/>
    <col min="20" max="20" width="15.81640625" style="177" bestFit="1" customWidth="1"/>
    <col min="21" max="21" width="18.1796875" style="177" bestFit="1" customWidth="1"/>
    <col min="22" max="22" width="19" style="177" bestFit="1" customWidth="1"/>
    <col min="23" max="23" width="26.7265625" style="177" bestFit="1" customWidth="1"/>
    <col min="24" max="24" width="19.26953125" style="177" bestFit="1" customWidth="1"/>
    <col min="25" max="25" width="20.54296875" style="177" bestFit="1" customWidth="1"/>
    <col min="26" max="26" width="22.453125" style="177" bestFit="1" customWidth="1"/>
    <col min="27" max="27" width="18.1796875" style="177" bestFit="1" customWidth="1"/>
    <col min="28" max="28" width="19.26953125" style="177" bestFit="1" customWidth="1"/>
    <col min="29" max="29" width="12.453125" style="177" bestFit="1" customWidth="1"/>
    <col min="30" max="30" width="20.54296875" style="177" bestFit="1" customWidth="1"/>
    <col min="31" max="31" width="18.1796875" style="177" bestFit="1" customWidth="1"/>
    <col min="32" max="32" width="19.26953125" style="177" bestFit="1" customWidth="1"/>
    <col min="33" max="33" width="11.81640625" style="177" bestFit="1" customWidth="1"/>
    <col min="34" max="34" width="20.6328125" style="177" customWidth="1"/>
    <col min="35" max="35" width="18.1796875" style="177" bestFit="1" customWidth="1"/>
    <col min="36" max="36" width="13.54296875" style="177" bestFit="1" customWidth="1"/>
    <col min="37" max="37" width="20.6328125" style="177" customWidth="1"/>
    <col min="38" max="38" width="26" style="177" bestFit="1" customWidth="1"/>
    <col min="39" max="39" width="9.453125" style="177"/>
    <col min="40" max="40" width="27.1796875" style="177" bestFit="1" customWidth="1"/>
    <col min="41" max="41" width="10.36328125" style="177" bestFit="1" customWidth="1"/>
    <col min="42" max="42" width="12.08984375" style="177" bestFit="1" customWidth="1"/>
    <col min="43" max="43" width="21.36328125" style="177" bestFit="1" customWidth="1"/>
    <col min="44" max="45" width="24.90625" style="177" bestFit="1" customWidth="1"/>
    <col min="46" max="46" width="28.36328125" style="177" bestFit="1" customWidth="1"/>
    <col min="47" max="47" width="15.7265625" style="177" bestFit="1" customWidth="1"/>
    <col min="48" max="16384" width="9.453125" style="177"/>
  </cols>
  <sheetData>
    <row r="1" spans="2:47" s="55" customFormat="1" ht="5.25" customHeight="1" x14ac:dyDescent="0.35">
      <c r="J1" s="174"/>
      <c r="M1" s="56"/>
      <c r="N1" s="175"/>
      <c r="O1" s="175"/>
    </row>
    <row r="2" spans="2:47" s="55" customFormat="1" ht="28.5" x14ac:dyDescent="0.65">
      <c r="B2" s="57" t="str">
        <f>C4&amp;" - Rent Roll"</f>
        <v>Property Name - Rent Roll</v>
      </c>
      <c r="D2" s="58"/>
      <c r="J2" s="174"/>
      <c r="M2" s="56"/>
      <c r="N2" s="175"/>
      <c r="O2" s="175"/>
    </row>
    <row r="3" spans="2:47" x14ac:dyDescent="0.35">
      <c r="M3" s="181"/>
    </row>
    <row r="4" spans="2:47" ht="15" thickBot="1" x14ac:dyDescent="0.4">
      <c r="B4" s="183" t="s">
        <v>158</v>
      </c>
      <c r="C4" s="324" t="str">
        <f>'Trend Health Score'!B2</f>
        <v>Property Name</v>
      </c>
      <c r="I4" s="184"/>
    </row>
    <row r="5" spans="2:47" x14ac:dyDescent="0.35">
      <c r="B5" s="186" t="s">
        <v>187</v>
      </c>
      <c r="C5" s="325"/>
      <c r="R5" s="278"/>
      <c r="S5" s="278"/>
      <c r="T5" s="278"/>
      <c r="U5" s="279"/>
      <c r="V5" s="279"/>
      <c r="W5" s="279"/>
      <c r="X5" s="279"/>
      <c r="Y5" s="280" t="s">
        <v>188</v>
      </c>
      <c r="Z5" s="281"/>
      <c r="AA5" s="281"/>
      <c r="AB5" s="282"/>
      <c r="AC5" s="280" t="s">
        <v>189</v>
      </c>
      <c r="AD5" s="281"/>
      <c r="AE5" s="281"/>
      <c r="AF5" s="282"/>
      <c r="AG5" s="280" t="s">
        <v>190</v>
      </c>
      <c r="AH5" s="281"/>
      <c r="AI5" s="281"/>
      <c r="AJ5" s="282"/>
      <c r="AK5" s="283" t="s">
        <v>191</v>
      </c>
      <c r="AL5" s="284"/>
      <c r="AN5" s="283" t="s">
        <v>192</v>
      </c>
      <c r="AO5" s="302"/>
      <c r="AP5" s="302"/>
      <c r="AQ5" s="302"/>
      <c r="AR5" s="302"/>
      <c r="AS5" s="302"/>
      <c r="AT5" s="302"/>
      <c r="AU5" s="284"/>
    </row>
    <row r="6" spans="2:47" ht="15" thickBot="1" x14ac:dyDescent="0.4">
      <c r="I6" s="187"/>
      <c r="R6" s="285"/>
      <c r="S6" s="285"/>
      <c r="T6" s="286"/>
      <c r="U6" s="287"/>
      <c r="V6" s="288"/>
      <c r="W6" s="288"/>
      <c r="X6" s="288"/>
      <c r="Y6" s="289">
        <f>C5-90</f>
        <v>-90</v>
      </c>
      <c r="Z6" s="290"/>
      <c r="AA6" s="290"/>
      <c r="AB6" s="291"/>
      <c r="AC6" s="289">
        <f>C5-60</f>
        <v>-60</v>
      </c>
      <c r="AD6" s="290"/>
      <c r="AE6" s="290"/>
      <c r="AF6" s="291"/>
      <c r="AG6" s="289">
        <f>C5-30</f>
        <v>-30</v>
      </c>
      <c r="AH6" s="290"/>
      <c r="AI6" s="290"/>
      <c r="AJ6" s="291"/>
      <c r="AK6" s="292" t="s">
        <v>193</v>
      </c>
      <c r="AL6" s="293"/>
      <c r="AN6" s="292"/>
      <c r="AO6" s="303"/>
      <c r="AP6" s="303"/>
      <c r="AQ6" s="303"/>
      <c r="AR6" s="303"/>
      <c r="AS6" s="303"/>
      <c r="AT6" s="303"/>
      <c r="AU6" s="304"/>
    </row>
    <row r="7" spans="2:47" s="189" customFormat="1" ht="23" customHeight="1" thickBot="1" x14ac:dyDescent="0.4">
      <c r="B7" s="277" t="s">
        <v>194</v>
      </c>
      <c r="C7" s="277" t="s">
        <v>195</v>
      </c>
      <c r="D7" s="277" t="s">
        <v>196</v>
      </c>
      <c r="E7" s="277" t="s">
        <v>197</v>
      </c>
      <c r="F7" s="277" t="s">
        <v>198</v>
      </c>
      <c r="G7" s="277" t="s">
        <v>199</v>
      </c>
      <c r="H7" s="277" t="s">
        <v>200</v>
      </c>
      <c r="I7" s="277" t="s">
        <v>201</v>
      </c>
      <c r="J7" s="277" t="s">
        <v>202</v>
      </c>
      <c r="K7" s="277" t="s">
        <v>203</v>
      </c>
      <c r="L7" s="277" t="s">
        <v>204</v>
      </c>
      <c r="M7" s="277" t="s">
        <v>205</v>
      </c>
      <c r="N7" s="277" t="s">
        <v>206</v>
      </c>
      <c r="O7" s="277" t="s">
        <v>207</v>
      </c>
      <c r="P7" s="277" t="s">
        <v>208</v>
      </c>
      <c r="Q7" s="188"/>
      <c r="R7" s="294" t="s">
        <v>198</v>
      </c>
      <c r="S7" s="295" t="s">
        <v>209</v>
      </c>
      <c r="T7" s="296" t="s">
        <v>210</v>
      </c>
      <c r="U7" s="297" t="s">
        <v>211</v>
      </c>
      <c r="V7" s="297" t="s">
        <v>212</v>
      </c>
      <c r="W7" s="297" t="s">
        <v>206</v>
      </c>
      <c r="X7" s="298" t="s">
        <v>213</v>
      </c>
      <c r="Y7" s="299" t="s">
        <v>210</v>
      </c>
      <c r="Z7" s="297" t="s">
        <v>212</v>
      </c>
      <c r="AA7" s="297" t="s">
        <v>214</v>
      </c>
      <c r="AB7" s="297" t="s">
        <v>213</v>
      </c>
      <c r="AC7" s="297" t="s">
        <v>210</v>
      </c>
      <c r="AD7" s="297" t="s">
        <v>212</v>
      </c>
      <c r="AE7" s="297" t="s">
        <v>214</v>
      </c>
      <c r="AF7" s="297" t="s">
        <v>213</v>
      </c>
      <c r="AG7" s="297" t="s">
        <v>210</v>
      </c>
      <c r="AH7" s="297" t="s">
        <v>212</v>
      </c>
      <c r="AI7" s="297" t="s">
        <v>214</v>
      </c>
      <c r="AJ7" s="298" t="s">
        <v>213</v>
      </c>
      <c r="AK7" s="300" t="s">
        <v>215</v>
      </c>
      <c r="AL7" s="301" t="s">
        <v>216</v>
      </c>
      <c r="AN7" s="305" t="str">
        <f>R7</f>
        <v>Unit Mix</v>
      </c>
      <c r="AO7" s="305" t="s">
        <v>210</v>
      </c>
      <c r="AP7" s="305" t="s">
        <v>212</v>
      </c>
      <c r="AQ7" s="306" t="s">
        <v>217</v>
      </c>
      <c r="AR7" s="305" t="s">
        <v>218</v>
      </c>
      <c r="AS7" s="306" t="s">
        <v>219</v>
      </c>
      <c r="AT7" s="305" t="s">
        <v>220</v>
      </c>
      <c r="AU7" s="305" t="s">
        <v>221</v>
      </c>
    </row>
    <row r="8" spans="2:47" x14ac:dyDescent="0.35">
      <c r="B8" s="190"/>
      <c r="C8" s="190"/>
      <c r="D8" s="190"/>
      <c r="E8" s="191" t="str">
        <f>F8&amp;"-"&amp;D8&amp;"-"&amp;C8</f>
        <v>--</v>
      </c>
      <c r="F8" s="192"/>
      <c r="G8" s="190"/>
      <c r="H8" s="193"/>
      <c r="I8" s="193"/>
      <c r="J8" s="194"/>
      <c r="K8" s="195">
        <f>EOMONTH(I8,0)</f>
        <v>31</v>
      </c>
      <c r="L8" s="195">
        <f>EOMONTH(J8,0)</f>
        <v>31</v>
      </c>
      <c r="M8" s="190"/>
      <c r="N8" s="196"/>
      <c r="O8" s="197"/>
      <c r="P8" s="198" t="str">
        <f t="shared" ref="P8:P71" si="0">IF(H8="","",IF(($C$5-H8)/365&gt;1.5,"Renewed Lease","New Lease"))</f>
        <v/>
      </c>
      <c r="Q8" s="199"/>
      <c r="R8" s="200" t="str" cm="1">
        <f t="array" ref="R8:R9">_xlfn._xlws.SORT(_xlfn.UNIQUE($E$8:$E$5422,,),,1)</f>
        <v>--</v>
      </c>
      <c r="S8" s="202">
        <f t="shared" ref="S8:S41" si="1">IFERROR(VLOOKUP(R8,$E:$F,COLUMNS($E$7:$F$7),0),"")</f>
        <v>0</v>
      </c>
      <c r="T8" s="203">
        <f t="shared" ref="T8:T41" si="2">COUNTIFS($E:$E,$R8)</f>
        <v>282</v>
      </c>
      <c r="U8" s="204">
        <f t="shared" ref="U8:U41" si="3">COUNTIFS($E:$E,$R8,$O:$O,"")</f>
        <v>282</v>
      </c>
      <c r="V8" s="205">
        <f t="shared" ref="V8:V41" si="4">IFERROR(SUMIFS($G:$G,$E:$E,"="&amp;$R8)/$T8,0)</f>
        <v>0</v>
      </c>
      <c r="W8" s="206">
        <f t="shared" ref="W8:W41" si="5">IFERROR(AVERAGEIFS($N:$N,$E:$E,"="&amp;$R8),0)</f>
        <v>0</v>
      </c>
      <c r="X8" s="207">
        <f t="shared" ref="X8:X41" si="6">IFERROR(AVERAGEIFS($O:$O,$E:$E,"="&amp;$R8),0)</f>
        <v>0</v>
      </c>
      <c r="Y8" s="204">
        <f t="shared" ref="Y8:Y41" si="7">COUNTIFS($I:$I,"&gt;="&amp;$Y$6,$E:$E,$R8)</f>
        <v>0</v>
      </c>
      <c r="Z8" s="205">
        <f t="shared" ref="Z8:Z41" si="8">IF(IFERROR(SUMIFS($G:$G,$I:$I,"&gt;="&amp;$Y$6,$E:$E,"="&amp;$R8)/$Y8,0)=0,$V8,IFERROR(SUMIFS($G:$G,$I:$I,"&gt;="&amp;$Y$6,$E:$E,"="&amp;$R8)/$Y8,0))</f>
        <v>0</v>
      </c>
      <c r="AA8" s="206">
        <f t="shared" ref="AA8:AA41" si="9">IF(IFERROR(AVERAGEIFS($N:$N,$I:$I,"&gt;="&amp;$Y$6,$E:$E,"="&amp;$R8),0)=0,$W8,IFERROR(AVERAGEIFS($N:$N,$I:$I,"&gt;="&amp;$Y$6,$E:$E,"="&amp;$R8),0))</f>
        <v>0</v>
      </c>
      <c r="AB8" s="207">
        <f t="shared" ref="AB8:AB41" si="10">IF(IFERROR(AVERAGEIFS($O:$O,$I:$I,"&gt;="&amp;$Y$6,$E:$E,"="&amp;$R8),0)=0,$X8,IFERROR(AVERAGEIFS($O:$O,$I:$I,"&gt;="&amp;$Y$6,$E:$E,"="&amp;$R8),0))</f>
        <v>0</v>
      </c>
      <c r="AC8" s="203">
        <f t="shared" ref="AC8:AC41" si="11">COUNTIFS($I:$I,"&gt;="&amp;$AC$6,$E:$E,$R8)</f>
        <v>0</v>
      </c>
      <c r="AD8" s="205">
        <f t="shared" ref="AD8:AD41" si="12">IF(IFERROR(SUMIFS($G:$G,$I:$I,"&gt;="&amp;$AC$6,$E:$E,"="&amp;$R8)/$AC8,0)=0,V8,IFERROR(SUMIFS($G:$G,$I:$I,"&gt;="&amp;$AC$6,$E:$E,"="&amp;$R8)/$AC8,0))</f>
        <v>0</v>
      </c>
      <c r="AE8" s="206">
        <f t="shared" ref="AE8:AE41" si="13">IF(IFERROR(AVERAGEIFS($N:$N,$I:$I,"&gt;="&amp;$AC$6,$E:$E,"="&amp;$R8),0)=0,W8,IFERROR(AVERAGEIFS($N:$N,$I:$I,"&gt;="&amp;$AC$6,$E:$E,"="&amp;$R8),0))</f>
        <v>0</v>
      </c>
      <c r="AF8" s="207">
        <f t="shared" ref="AF8:AF41" si="14">IF(IFERROR(AVERAGEIFS($O:$O,$I:$I,"&gt;="&amp;$AC$6,$E:$E,"="&amp;$R8),0)=0,X8,IFERROR(AVERAGEIFS($O:$O,$I:$I,"&gt;="&amp;$AC$6,$E:$E,"="&amp;$R8),0))</f>
        <v>0</v>
      </c>
      <c r="AG8" s="203">
        <f t="shared" ref="AG8:AG41" si="15">COUNTIFS($I:$I,"&gt;="&amp;$AG$6,$E:$E,$R8)</f>
        <v>0</v>
      </c>
      <c r="AH8" s="205">
        <f t="shared" ref="AH8:AH41" si="16">IF(IFERROR(SUMIFS($G:$G,$I:$I,"&gt;="&amp;$AG$6,$E:$E,"="&amp;$R8)/$AG8,0)=0,V8,IFERROR(SUMIFS($G:$G,$I:$I,"&gt;="&amp;$AG$6,$E:$E,"="&amp;$R8)/$AG8,0))</f>
        <v>0</v>
      </c>
      <c r="AI8" s="206">
        <f t="shared" ref="AI8:AI41" si="17">IF(IFERROR(AVERAGEIFS($N:$N,$I:$I,"&gt;="&amp;$AG$6,$E:$E,"="&amp;$R8),0)=0,W8,IFERROR(AVERAGEIFS($N:$N,$I:$I,"&gt;="&amp;$AG$6,$E:$E,"="&amp;$R8),0))</f>
        <v>0</v>
      </c>
      <c r="AJ8" s="207">
        <f t="shared" ref="AJ8:AJ41" si="18">IF(IFERROR(AVERAGEIFS($O:$O,$I:$I,"&gt;="&amp;$AG$6,$E:$E,"="&amp;$R8),0)=0,X8,IFERROR(AVERAGEIFS($O:$O,$I:$I,"&gt;="&amp;$AG$6,$E:$E,"="&amp;$R8),0))</f>
        <v>0</v>
      </c>
      <c r="AK8" s="208">
        <f t="shared" ref="AK8:AK41" si="19">IFERROR(IF(Y8=0,0,AB8/X8-1),"")</f>
        <v>0</v>
      </c>
      <c r="AL8" s="209" t="str">
        <f>IF(ISBLANK(R8)=TRUE,"",IF(Y8=0,"No Recent Leasing",IF(AK8&gt;0,"Positive","Negative")))</f>
        <v>No Recent Leasing</v>
      </c>
      <c r="AN8" s="210" t="str">
        <f>R8</f>
        <v>--</v>
      </c>
      <c r="AO8" s="211">
        <f>T8</f>
        <v>282</v>
      </c>
      <c r="AP8" s="212">
        <f>V8</f>
        <v>0</v>
      </c>
      <c r="AQ8" s="176">
        <f>COUNTIFS($E:$E,$AN8,$P:$P,"New Lease")</f>
        <v>0</v>
      </c>
      <c r="AR8" s="213">
        <f>IFERROR(AVERAGEIFS($O:$O,$E:$E,$AN8,$P:$P,"New Lease"),0)</f>
        <v>0</v>
      </c>
      <c r="AS8" s="176">
        <f>COUNTIFS($E:$E,$AN8,$P:$P,"Renewed Lease")</f>
        <v>0</v>
      </c>
      <c r="AT8" s="214">
        <f>IFERROR(AVERAGEIFS($O:$O,$E:$E,$AN8,$P:$P,"Renewed Lease"),0)</f>
        <v>0</v>
      </c>
      <c r="AU8" s="213">
        <f t="shared" ref="AU8" si="20">IFERROR(IF(OR(AS8=0,AQ8=0),0,AR8-AT8),0)</f>
        <v>0</v>
      </c>
    </row>
    <row r="9" spans="2:47" x14ac:dyDescent="0.35">
      <c r="B9" s="190"/>
      <c r="C9" s="190"/>
      <c r="D9" s="190"/>
      <c r="E9" s="191" t="str">
        <f t="shared" ref="E9:E72" si="21">F9&amp;"-"&amp;D9&amp;"-"&amp;C9</f>
        <v>--</v>
      </c>
      <c r="F9" s="192"/>
      <c r="G9" s="190"/>
      <c r="H9" s="193"/>
      <c r="I9" s="193"/>
      <c r="J9" s="194"/>
      <c r="K9" s="195">
        <f t="shared" ref="K9:L72" si="22">EOMONTH(I9,0)</f>
        <v>31</v>
      </c>
      <c r="L9" s="195">
        <f t="shared" si="22"/>
        <v>31</v>
      </c>
      <c r="M9" s="190"/>
      <c r="N9" s="196"/>
      <c r="O9" s="197"/>
      <c r="P9" s="198" t="str">
        <f t="shared" si="0"/>
        <v/>
      </c>
      <c r="R9" s="201">
        <v>0</v>
      </c>
      <c r="S9" s="215" t="str">
        <f t="shared" si="1"/>
        <v/>
      </c>
      <c r="T9" s="216">
        <f t="shared" si="2"/>
        <v>0</v>
      </c>
      <c r="U9" s="217">
        <f t="shared" si="3"/>
        <v>0</v>
      </c>
      <c r="V9" s="218">
        <f t="shared" si="4"/>
        <v>0</v>
      </c>
      <c r="W9" s="219">
        <f t="shared" si="5"/>
        <v>0</v>
      </c>
      <c r="X9" s="220">
        <f t="shared" si="6"/>
        <v>0</v>
      </c>
      <c r="Y9" s="217">
        <f t="shared" si="7"/>
        <v>0</v>
      </c>
      <c r="Z9" s="218">
        <f t="shared" si="8"/>
        <v>0</v>
      </c>
      <c r="AA9" s="219">
        <f t="shared" si="9"/>
        <v>0</v>
      </c>
      <c r="AB9" s="220">
        <f t="shared" si="10"/>
        <v>0</v>
      </c>
      <c r="AC9" s="216">
        <f t="shared" si="11"/>
        <v>0</v>
      </c>
      <c r="AD9" s="218">
        <f t="shared" si="12"/>
        <v>0</v>
      </c>
      <c r="AE9" s="219">
        <f t="shared" si="13"/>
        <v>0</v>
      </c>
      <c r="AF9" s="220">
        <f t="shared" si="14"/>
        <v>0</v>
      </c>
      <c r="AG9" s="216">
        <f t="shared" si="15"/>
        <v>0</v>
      </c>
      <c r="AH9" s="218">
        <f t="shared" si="16"/>
        <v>0</v>
      </c>
      <c r="AI9" s="219">
        <f t="shared" si="17"/>
        <v>0</v>
      </c>
      <c r="AJ9" s="220">
        <f t="shared" si="18"/>
        <v>0</v>
      </c>
      <c r="AK9" s="208">
        <f t="shared" si="19"/>
        <v>0</v>
      </c>
      <c r="AL9" s="209" t="str">
        <f t="shared" ref="AL9:AL41" si="23">IF(ISBLANK(R9)=TRUE,"",IF(Y9=0,"No Recent Leasing",IF(AK9&gt;0,"Positive","Negative")))</f>
        <v>No Recent Leasing</v>
      </c>
      <c r="AN9" s="221">
        <f t="shared" ref="AN9:AN41" si="24">R9</f>
        <v>0</v>
      </c>
      <c r="AO9" s="211">
        <f t="shared" ref="AO9:AO41" si="25">T9</f>
        <v>0</v>
      </c>
      <c r="AP9" s="212">
        <f t="shared" ref="AP9:AP41" si="26">V9</f>
        <v>0</v>
      </c>
      <c r="AQ9" s="176">
        <f t="shared" ref="AQ9:AQ41" si="27">COUNTIFS($E:$E,$AN9,$P:$P,"New Lease")</f>
        <v>0</v>
      </c>
      <c r="AR9" s="213">
        <f t="shared" ref="AR9:AR41" si="28">IFERROR(AVERAGEIFS($O:$O,$E:$E,$AN9,$P:$P,"New Lease"),0)</f>
        <v>0</v>
      </c>
      <c r="AS9" s="176">
        <f t="shared" ref="AS9:AS41" si="29">COUNTIFS($E:$E,$AN9,$P:$P,"Renewed Lease")</f>
        <v>0</v>
      </c>
      <c r="AT9" s="214">
        <f t="shared" ref="AT9:AT41" si="30">IFERROR(AVERAGEIFS($O:$O,$E:$E,$AN9,$P:$P,"Renewed Lease"),0)</f>
        <v>0</v>
      </c>
      <c r="AU9" s="213">
        <f>IFERROR(IF(OR(AS9=0,AQ9=0),0,AR9-AT9),0)</f>
        <v>0</v>
      </c>
    </row>
    <row r="10" spans="2:47" x14ac:dyDescent="0.35">
      <c r="B10" s="190"/>
      <c r="C10" s="190"/>
      <c r="D10" s="190"/>
      <c r="E10" s="191" t="str">
        <f t="shared" si="21"/>
        <v>--</v>
      </c>
      <c r="F10" s="192"/>
      <c r="G10" s="190"/>
      <c r="H10" s="193"/>
      <c r="I10" s="193"/>
      <c r="J10" s="194"/>
      <c r="K10" s="195">
        <f t="shared" si="22"/>
        <v>31</v>
      </c>
      <c r="L10" s="195">
        <f t="shared" si="22"/>
        <v>31</v>
      </c>
      <c r="M10" s="190"/>
      <c r="N10" s="196"/>
      <c r="O10" s="197"/>
      <c r="P10" s="198" t="str">
        <f t="shared" si="0"/>
        <v/>
      </c>
      <c r="Q10" s="199"/>
      <c r="R10" s="201"/>
      <c r="S10" s="215" t="str">
        <f t="shared" si="1"/>
        <v/>
      </c>
      <c r="T10" s="216">
        <f t="shared" si="2"/>
        <v>0</v>
      </c>
      <c r="U10" s="217">
        <f t="shared" si="3"/>
        <v>0</v>
      </c>
      <c r="V10" s="218">
        <f t="shared" si="4"/>
        <v>0</v>
      </c>
      <c r="W10" s="219">
        <f t="shared" si="5"/>
        <v>0</v>
      </c>
      <c r="X10" s="220">
        <f t="shared" si="6"/>
        <v>0</v>
      </c>
      <c r="Y10" s="217">
        <f t="shared" si="7"/>
        <v>0</v>
      </c>
      <c r="Z10" s="218">
        <f t="shared" si="8"/>
        <v>0</v>
      </c>
      <c r="AA10" s="219">
        <f t="shared" si="9"/>
        <v>0</v>
      </c>
      <c r="AB10" s="220">
        <f t="shared" si="10"/>
        <v>0</v>
      </c>
      <c r="AC10" s="216">
        <f t="shared" si="11"/>
        <v>0</v>
      </c>
      <c r="AD10" s="218">
        <f t="shared" si="12"/>
        <v>0</v>
      </c>
      <c r="AE10" s="219">
        <f t="shared" si="13"/>
        <v>0</v>
      </c>
      <c r="AF10" s="220">
        <f t="shared" si="14"/>
        <v>0</v>
      </c>
      <c r="AG10" s="216">
        <f t="shared" si="15"/>
        <v>0</v>
      </c>
      <c r="AH10" s="218">
        <f t="shared" si="16"/>
        <v>0</v>
      </c>
      <c r="AI10" s="219">
        <f t="shared" si="17"/>
        <v>0</v>
      </c>
      <c r="AJ10" s="220">
        <f t="shared" si="18"/>
        <v>0</v>
      </c>
      <c r="AK10" s="208">
        <f t="shared" si="19"/>
        <v>0</v>
      </c>
      <c r="AL10" s="209" t="str">
        <f t="shared" si="23"/>
        <v/>
      </c>
      <c r="AN10" s="221">
        <f t="shared" si="24"/>
        <v>0</v>
      </c>
      <c r="AO10" s="211">
        <f t="shared" si="25"/>
        <v>0</v>
      </c>
      <c r="AP10" s="212">
        <f t="shared" si="26"/>
        <v>0</v>
      </c>
      <c r="AQ10" s="176">
        <f t="shared" si="27"/>
        <v>0</v>
      </c>
      <c r="AR10" s="213">
        <f t="shared" si="28"/>
        <v>0</v>
      </c>
      <c r="AS10" s="176">
        <f t="shared" si="29"/>
        <v>0</v>
      </c>
      <c r="AT10" s="214">
        <f t="shared" si="30"/>
        <v>0</v>
      </c>
      <c r="AU10" s="213">
        <f t="shared" ref="AU10:AU42" si="31">IFERROR(IF(OR(AS10=0,AQ10=0),0,AR10-AT10),0)</f>
        <v>0</v>
      </c>
    </row>
    <row r="11" spans="2:47" x14ac:dyDescent="0.35">
      <c r="B11" s="190"/>
      <c r="C11" s="190"/>
      <c r="D11" s="190"/>
      <c r="E11" s="191" t="str">
        <f t="shared" si="21"/>
        <v>--</v>
      </c>
      <c r="F11" s="192"/>
      <c r="G11" s="190"/>
      <c r="H11" s="193"/>
      <c r="I11" s="193"/>
      <c r="J11" s="194"/>
      <c r="K11" s="195">
        <f t="shared" si="22"/>
        <v>31</v>
      </c>
      <c r="L11" s="195">
        <f t="shared" si="22"/>
        <v>31</v>
      </c>
      <c r="M11" s="190"/>
      <c r="N11" s="196"/>
      <c r="O11" s="197"/>
      <c r="P11" s="198" t="str">
        <f t="shared" si="0"/>
        <v/>
      </c>
      <c r="Q11" s="199"/>
      <c r="R11" s="201"/>
      <c r="S11" s="215" t="str">
        <f t="shared" si="1"/>
        <v/>
      </c>
      <c r="T11" s="216">
        <f t="shared" si="2"/>
        <v>0</v>
      </c>
      <c r="U11" s="217">
        <f t="shared" si="3"/>
        <v>0</v>
      </c>
      <c r="V11" s="218">
        <f t="shared" si="4"/>
        <v>0</v>
      </c>
      <c r="W11" s="219">
        <f t="shared" si="5"/>
        <v>0</v>
      </c>
      <c r="X11" s="220">
        <f t="shared" si="6"/>
        <v>0</v>
      </c>
      <c r="Y11" s="217">
        <f t="shared" si="7"/>
        <v>0</v>
      </c>
      <c r="Z11" s="218">
        <f t="shared" si="8"/>
        <v>0</v>
      </c>
      <c r="AA11" s="219">
        <f t="shared" si="9"/>
        <v>0</v>
      </c>
      <c r="AB11" s="220">
        <f t="shared" si="10"/>
        <v>0</v>
      </c>
      <c r="AC11" s="216">
        <f t="shared" si="11"/>
        <v>0</v>
      </c>
      <c r="AD11" s="218">
        <f t="shared" si="12"/>
        <v>0</v>
      </c>
      <c r="AE11" s="219">
        <f t="shared" si="13"/>
        <v>0</v>
      </c>
      <c r="AF11" s="220">
        <f t="shared" si="14"/>
        <v>0</v>
      </c>
      <c r="AG11" s="216">
        <f t="shared" si="15"/>
        <v>0</v>
      </c>
      <c r="AH11" s="218">
        <f t="shared" si="16"/>
        <v>0</v>
      </c>
      <c r="AI11" s="219">
        <f t="shared" si="17"/>
        <v>0</v>
      </c>
      <c r="AJ11" s="220">
        <f t="shared" si="18"/>
        <v>0</v>
      </c>
      <c r="AK11" s="208">
        <f t="shared" si="19"/>
        <v>0</v>
      </c>
      <c r="AL11" s="209" t="str">
        <f t="shared" si="23"/>
        <v/>
      </c>
      <c r="AN11" s="221">
        <f t="shared" si="24"/>
        <v>0</v>
      </c>
      <c r="AO11" s="211">
        <f t="shared" si="25"/>
        <v>0</v>
      </c>
      <c r="AP11" s="212">
        <f t="shared" si="26"/>
        <v>0</v>
      </c>
      <c r="AQ11" s="176">
        <f t="shared" si="27"/>
        <v>0</v>
      </c>
      <c r="AR11" s="213">
        <f t="shared" si="28"/>
        <v>0</v>
      </c>
      <c r="AS11" s="176">
        <f t="shared" si="29"/>
        <v>0</v>
      </c>
      <c r="AT11" s="214">
        <f t="shared" si="30"/>
        <v>0</v>
      </c>
      <c r="AU11" s="213">
        <f t="shared" si="31"/>
        <v>0</v>
      </c>
    </row>
    <row r="12" spans="2:47" x14ac:dyDescent="0.35">
      <c r="B12" s="190"/>
      <c r="C12" s="190"/>
      <c r="D12" s="190"/>
      <c r="E12" s="191" t="str">
        <f t="shared" si="21"/>
        <v>--</v>
      </c>
      <c r="F12" s="192"/>
      <c r="G12" s="190"/>
      <c r="H12" s="193"/>
      <c r="I12" s="193"/>
      <c r="J12" s="194"/>
      <c r="K12" s="195">
        <f t="shared" si="22"/>
        <v>31</v>
      </c>
      <c r="L12" s="195">
        <f t="shared" si="22"/>
        <v>31</v>
      </c>
      <c r="M12" s="190"/>
      <c r="N12" s="196"/>
      <c r="O12" s="197"/>
      <c r="P12" s="198" t="str">
        <f t="shared" si="0"/>
        <v/>
      </c>
      <c r="Q12" s="199"/>
      <c r="R12" s="201"/>
      <c r="S12" s="215" t="str">
        <f t="shared" si="1"/>
        <v/>
      </c>
      <c r="T12" s="216">
        <f t="shared" si="2"/>
        <v>0</v>
      </c>
      <c r="U12" s="217">
        <f t="shared" si="3"/>
        <v>0</v>
      </c>
      <c r="V12" s="218">
        <f t="shared" si="4"/>
        <v>0</v>
      </c>
      <c r="W12" s="219">
        <f t="shared" si="5"/>
        <v>0</v>
      </c>
      <c r="X12" s="220">
        <f t="shared" si="6"/>
        <v>0</v>
      </c>
      <c r="Y12" s="217">
        <f t="shared" si="7"/>
        <v>0</v>
      </c>
      <c r="Z12" s="218">
        <f t="shared" si="8"/>
        <v>0</v>
      </c>
      <c r="AA12" s="219">
        <f t="shared" si="9"/>
        <v>0</v>
      </c>
      <c r="AB12" s="220">
        <f t="shared" si="10"/>
        <v>0</v>
      </c>
      <c r="AC12" s="216">
        <f t="shared" si="11"/>
        <v>0</v>
      </c>
      <c r="AD12" s="218">
        <f t="shared" si="12"/>
        <v>0</v>
      </c>
      <c r="AE12" s="219">
        <f t="shared" si="13"/>
        <v>0</v>
      </c>
      <c r="AF12" s="220">
        <f t="shared" si="14"/>
        <v>0</v>
      </c>
      <c r="AG12" s="216">
        <f t="shared" si="15"/>
        <v>0</v>
      </c>
      <c r="AH12" s="218">
        <f t="shared" si="16"/>
        <v>0</v>
      </c>
      <c r="AI12" s="219">
        <f t="shared" si="17"/>
        <v>0</v>
      </c>
      <c r="AJ12" s="220">
        <f t="shared" si="18"/>
        <v>0</v>
      </c>
      <c r="AK12" s="208">
        <f t="shared" si="19"/>
        <v>0</v>
      </c>
      <c r="AL12" s="209" t="str">
        <f t="shared" si="23"/>
        <v/>
      </c>
      <c r="AN12" s="221">
        <f t="shared" si="24"/>
        <v>0</v>
      </c>
      <c r="AO12" s="211">
        <f t="shared" si="25"/>
        <v>0</v>
      </c>
      <c r="AP12" s="212">
        <f t="shared" si="26"/>
        <v>0</v>
      </c>
      <c r="AQ12" s="176">
        <f t="shared" si="27"/>
        <v>0</v>
      </c>
      <c r="AR12" s="213">
        <f t="shared" si="28"/>
        <v>0</v>
      </c>
      <c r="AS12" s="176">
        <f t="shared" si="29"/>
        <v>0</v>
      </c>
      <c r="AT12" s="214">
        <f t="shared" si="30"/>
        <v>0</v>
      </c>
      <c r="AU12" s="213">
        <f t="shared" si="31"/>
        <v>0</v>
      </c>
    </row>
    <row r="13" spans="2:47" x14ac:dyDescent="0.35">
      <c r="B13" s="190"/>
      <c r="C13" s="190"/>
      <c r="D13" s="190"/>
      <c r="E13" s="191" t="str">
        <f t="shared" si="21"/>
        <v>--</v>
      </c>
      <c r="F13" s="192"/>
      <c r="G13" s="190"/>
      <c r="H13" s="193"/>
      <c r="I13" s="193"/>
      <c r="J13" s="194"/>
      <c r="K13" s="195">
        <f t="shared" si="22"/>
        <v>31</v>
      </c>
      <c r="L13" s="195">
        <f t="shared" si="22"/>
        <v>31</v>
      </c>
      <c r="M13" s="190"/>
      <c r="N13" s="196"/>
      <c r="O13" s="197"/>
      <c r="P13" s="198" t="str">
        <f t="shared" si="0"/>
        <v/>
      </c>
      <c r="R13" s="201"/>
      <c r="S13" s="215" t="str">
        <f t="shared" si="1"/>
        <v/>
      </c>
      <c r="T13" s="216">
        <f t="shared" si="2"/>
        <v>0</v>
      </c>
      <c r="U13" s="217">
        <f t="shared" si="3"/>
        <v>0</v>
      </c>
      <c r="V13" s="218">
        <f t="shared" si="4"/>
        <v>0</v>
      </c>
      <c r="W13" s="219">
        <f t="shared" si="5"/>
        <v>0</v>
      </c>
      <c r="X13" s="220">
        <f t="shared" si="6"/>
        <v>0</v>
      </c>
      <c r="Y13" s="217">
        <f t="shared" si="7"/>
        <v>0</v>
      </c>
      <c r="Z13" s="218">
        <f t="shared" si="8"/>
        <v>0</v>
      </c>
      <c r="AA13" s="219">
        <f t="shared" si="9"/>
        <v>0</v>
      </c>
      <c r="AB13" s="220">
        <f t="shared" si="10"/>
        <v>0</v>
      </c>
      <c r="AC13" s="216">
        <f t="shared" si="11"/>
        <v>0</v>
      </c>
      <c r="AD13" s="218">
        <f t="shared" si="12"/>
        <v>0</v>
      </c>
      <c r="AE13" s="219">
        <f t="shared" si="13"/>
        <v>0</v>
      </c>
      <c r="AF13" s="220">
        <f t="shared" si="14"/>
        <v>0</v>
      </c>
      <c r="AG13" s="216">
        <f t="shared" si="15"/>
        <v>0</v>
      </c>
      <c r="AH13" s="218">
        <f t="shared" si="16"/>
        <v>0</v>
      </c>
      <c r="AI13" s="219">
        <f t="shared" si="17"/>
        <v>0</v>
      </c>
      <c r="AJ13" s="220">
        <f t="shared" si="18"/>
        <v>0</v>
      </c>
      <c r="AK13" s="208">
        <f t="shared" si="19"/>
        <v>0</v>
      </c>
      <c r="AL13" s="209" t="str">
        <f t="shared" si="23"/>
        <v/>
      </c>
      <c r="AN13" s="221">
        <f t="shared" si="24"/>
        <v>0</v>
      </c>
      <c r="AO13" s="211">
        <f t="shared" si="25"/>
        <v>0</v>
      </c>
      <c r="AP13" s="212">
        <f t="shared" si="26"/>
        <v>0</v>
      </c>
      <c r="AQ13" s="176">
        <f t="shared" si="27"/>
        <v>0</v>
      </c>
      <c r="AR13" s="213">
        <f t="shared" si="28"/>
        <v>0</v>
      </c>
      <c r="AS13" s="176">
        <f t="shared" si="29"/>
        <v>0</v>
      </c>
      <c r="AT13" s="214">
        <f t="shared" si="30"/>
        <v>0</v>
      </c>
      <c r="AU13" s="213">
        <f t="shared" si="31"/>
        <v>0</v>
      </c>
    </row>
    <row r="14" spans="2:47" x14ac:dyDescent="0.35">
      <c r="B14" s="190"/>
      <c r="C14" s="190"/>
      <c r="D14" s="190"/>
      <c r="E14" s="191" t="str">
        <f t="shared" si="21"/>
        <v>--</v>
      </c>
      <c r="F14" s="192"/>
      <c r="G14" s="190"/>
      <c r="H14" s="193"/>
      <c r="I14" s="193"/>
      <c r="J14" s="194"/>
      <c r="K14" s="195">
        <f t="shared" si="22"/>
        <v>31</v>
      </c>
      <c r="L14" s="195">
        <f t="shared" si="22"/>
        <v>31</v>
      </c>
      <c r="M14" s="190"/>
      <c r="N14" s="196"/>
      <c r="O14" s="197"/>
      <c r="P14" s="198" t="str">
        <f t="shared" si="0"/>
        <v/>
      </c>
      <c r="Q14" s="199"/>
      <c r="R14" s="201"/>
      <c r="S14" s="215" t="str">
        <f t="shared" si="1"/>
        <v/>
      </c>
      <c r="T14" s="216">
        <f t="shared" si="2"/>
        <v>0</v>
      </c>
      <c r="U14" s="217">
        <f t="shared" si="3"/>
        <v>0</v>
      </c>
      <c r="V14" s="218">
        <f t="shared" si="4"/>
        <v>0</v>
      </c>
      <c r="W14" s="219">
        <f t="shared" si="5"/>
        <v>0</v>
      </c>
      <c r="X14" s="220">
        <f t="shared" si="6"/>
        <v>0</v>
      </c>
      <c r="Y14" s="217">
        <f t="shared" si="7"/>
        <v>0</v>
      </c>
      <c r="Z14" s="218">
        <f t="shared" si="8"/>
        <v>0</v>
      </c>
      <c r="AA14" s="219">
        <f t="shared" si="9"/>
        <v>0</v>
      </c>
      <c r="AB14" s="220">
        <f t="shared" si="10"/>
        <v>0</v>
      </c>
      <c r="AC14" s="216">
        <f t="shared" si="11"/>
        <v>0</v>
      </c>
      <c r="AD14" s="218">
        <f t="shared" si="12"/>
        <v>0</v>
      </c>
      <c r="AE14" s="219">
        <f t="shared" si="13"/>
        <v>0</v>
      </c>
      <c r="AF14" s="220">
        <f t="shared" si="14"/>
        <v>0</v>
      </c>
      <c r="AG14" s="216">
        <f t="shared" si="15"/>
        <v>0</v>
      </c>
      <c r="AH14" s="218">
        <f t="shared" si="16"/>
        <v>0</v>
      </c>
      <c r="AI14" s="219">
        <f t="shared" si="17"/>
        <v>0</v>
      </c>
      <c r="AJ14" s="220">
        <f t="shared" si="18"/>
        <v>0</v>
      </c>
      <c r="AK14" s="208">
        <f t="shared" si="19"/>
        <v>0</v>
      </c>
      <c r="AL14" s="209" t="str">
        <f t="shared" si="23"/>
        <v/>
      </c>
      <c r="AN14" s="221">
        <f t="shared" si="24"/>
        <v>0</v>
      </c>
      <c r="AO14" s="211">
        <f t="shared" si="25"/>
        <v>0</v>
      </c>
      <c r="AP14" s="212">
        <f t="shared" si="26"/>
        <v>0</v>
      </c>
      <c r="AQ14" s="176">
        <f t="shared" si="27"/>
        <v>0</v>
      </c>
      <c r="AR14" s="213">
        <f t="shared" si="28"/>
        <v>0</v>
      </c>
      <c r="AS14" s="176">
        <f t="shared" si="29"/>
        <v>0</v>
      </c>
      <c r="AT14" s="214">
        <f t="shared" si="30"/>
        <v>0</v>
      </c>
      <c r="AU14" s="213">
        <f t="shared" si="31"/>
        <v>0</v>
      </c>
    </row>
    <row r="15" spans="2:47" x14ac:dyDescent="0.35">
      <c r="B15" s="190"/>
      <c r="C15" s="190"/>
      <c r="D15" s="190"/>
      <c r="E15" s="191" t="str">
        <f t="shared" si="21"/>
        <v>--</v>
      </c>
      <c r="F15" s="192"/>
      <c r="G15" s="190"/>
      <c r="H15" s="193"/>
      <c r="I15" s="193"/>
      <c r="J15" s="194"/>
      <c r="K15" s="195">
        <f t="shared" si="22"/>
        <v>31</v>
      </c>
      <c r="L15" s="195">
        <f t="shared" si="22"/>
        <v>31</v>
      </c>
      <c r="M15" s="190"/>
      <c r="N15" s="196"/>
      <c r="O15" s="197"/>
      <c r="P15" s="198" t="str">
        <f t="shared" si="0"/>
        <v/>
      </c>
      <c r="Q15" s="199"/>
      <c r="R15" s="201"/>
      <c r="S15" s="215" t="str">
        <f t="shared" si="1"/>
        <v/>
      </c>
      <c r="T15" s="216">
        <f t="shared" si="2"/>
        <v>0</v>
      </c>
      <c r="U15" s="217">
        <f t="shared" si="3"/>
        <v>0</v>
      </c>
      <c r="V15" s="218">
        <f t="shared" si="4"/>
        <v>0</v>
      </c>
      <c r="W15" s="219">
        <f t="shared" si="5"/>
        <v>0</v>
      </c>
      <c r="X15" s="220">
        <f t="shared" si="6"/>
        <v>0</v>
      </c>
      <c r="Y15" s="217">
        <f t="shared" si="7"/>
        <v>0</v>
      </c>
      <c r="Z15" s="218">
        <f t="shared" si="8"/>
        <v>0</v>
      </c>
      <c r="AA15" s="219">
        <f t="shared" si="9"/>
        <v>0</v>
      </c>
      <c r="AB15" s="220">
        <f t="shared" si="10"/>
        <v>0</v>
      </c>
      <c r="AC15" s="216">
        <f t="shared" si="11"/>
        <v>0</v>
      </c>
      <c r="AD15" s="218">
        <f t="shared" si="12"/>
        <v>0</v>
      </c>
      <c r="AE15" s="219">
        <f t="shared" si="13"/>
        <v>0</v>
      </c>
      <c r="AF15" s="220">
        <f t="shared" si="14"/>
        <v>0</v>
      </c>
      <c r="AG15" s="216">
        <f t="shared" si="15"/>
        <v>0</v>
      </c>
      <c r="AH15" s="218">
        <f t="shared" si="16"/>
        <v>0</v>
      </c>
      <c r="AI15" s="219">
        <f t="shared" si="17"/>
        <v>0</v>
      </c>
      <c r="AJ15" s="220">
        <f t="shared" si="18"/>
        <v>0</v>
      </c>
      <c r="AK15" s="208">
        <f t="shared" si="19"/>
        <v>0</v>
      </c>
      <c r="AL15" s="209" t="str">
        <f t="shared" si="23"/>
        <v/>
      </c>
      <c r="AN15" s="221">
        <f t="shared" si="24"/>
        <v>0</v>
      </c>
      <c r="AO15" s="211">
        <f t="shared" si="25"/>
        <v>0</v>
      </c>
      <c r="AP15" s="212">
        <f t="shared" si="26"/>
        <v>0</v>
      </c>
      <c r="AQ15" s="176">
        <f t="shared" si="27"/>
        <v>0</v>
      </c>
      <c r="AR15" s="213">
        <f t="shared" si="28"/>
        <v>0</v>
      </c>
      <c r="AS15" s="176">
        <f t="shared" si="29"/>
        <v>0</v>
      </c>
      <c r="AT15" s="214">
        <f t="shared" si="30"/>
        <v>0</v>
      </c>
      <c r="AU15" s="213">
        <f t="shared" si="31"/>
        <v>0</v>
      </c>
    </row>
    <row r="16" spans="2:47" x14ac:dyDescent="0.35">
      <c r="B16" s="190"/>
      <c r="C16" s="190"/>
      <c r="D16" s="190"/>
      <c r="E16" s="191" t="str">
        <f t="shared" si="21"/>
        <v>--</v>
      </c>
      <c r="F16" s="192"/>
      <c r="G16" s="190"/>
      <c r="H16" s="193"/>
      <c r="I16" s="193"/>
      <c r="J16" s="194"/>
      <c r="K16" s="195">
        <f t="shared" si="22"/>
        <v>31</v>
      </c>
      <c r="L16" s="195">
        <f t="shared" si="22"/>
        <v>31</v>
      </c>
      <c r="M16" s="190"/>
      <c r="N16" s="196"/>
      <c r="O16" s="197"/>
      <c r="P16" s="198" t="str">
        <f t="shared" si="0"/>
        <v/>
      </c>
      <c r="R16" s="201"/>
      <c r="S16" s="215" t="str">
        <f t="shared" si="1"/>
        <v/>
      </c>
      <c r="T16" s="216">
        <f t="shared" si="2"/>
        <v>0</v>
      </c>
      <c r="U16" s="217">
        <f t="shared" si="3"/>
        <v>0</v>
      </c>
      <c r="V16" s="218">
        <f t="shared" si="4"/>
        <v>0</v>
      </c>
      <c r="W16" s="219">
        <f t="shared" si="5"/>
        <v>0</v>
      </c>
      <c r="X16" s="220">
        <f t="shared" si="6"/>
        <v>0</v>
      </c>
      <c r="Y16" s="217">
        <f t="shared" si="7"/>
        <v>0</v>
      </c>
      <c r="Z16" s="218">
        <f t="shared" si="8"/>
        <v>0</v>
      </c>
      <c r="AA16" s="219">
        <f t="shared" si="9"/>
        <v>0</v>
      </c>
      <c r="AB16" s="220">
        <f t="shared" si="10"/>
        <v>0</v>
      </c>
      <c r="AC16" s="216">
        <f t="shared" si="11"/>
        <v>0</v>
      </c>
      <c r="AD16" s="218">
        <f t="shared" si="12"/>
        <v>0</v>
      </c>
      <c r="AE16" s="219">
        <f t="shared" si="13"/>
        <v>0</v>
      </c>
      <c r="AF16" s="220">
        <f t="shared" si="14"/>
        <v>0</v>
      </c>
      <c r="AG16" s="216">
        <f t="shared" si="15"/>
        <v>0</v>
      </c>
      <c r="AH16" s="218">
        <f t="shared" si="16"/>
        <v>0</v>
      </c>
      <c r="AI16" s="219">
        <f t="shared" si="17"/>
        <v>0</v>
      </c>
      <c r="AJ16" s="220">
        <f t="shared" si="18"/>
        <v>0</v>
      </c>
      <c r="AK16" s="208">
        <f t="shared" si="19"/>
        <v>0</v>
      </c>
      <c r="AL16" s="209" t="str">
        <f t="shared" si="23"/>
        <v/>
      </c>
      <c r="AN16" s="221">
        <f t="shared" si="24"/>
        <v>0</v>
      </c>
      <c r="AO16" s="211">
        <f t="shared" si="25"/>
        <v>0</v>
      </c>
      <c r="AP16" s="212">
        <f t="shared" si="26"/>
        <v>0</v>
      </c>
      <c r="AQ16" s="176">
        <f t="shared" si="27"/>
        <v>0</v>
      </c>
      <c r="AR16" s="213">
        <f t="shared" si="28"/>
        <v>0</v>
      </c>
      <c r="AS16" s="176">
        <f t="shared" si="29"/>
        <v>0</v>
      </c>
      <c r="AT16" s="214">
        <f t="shared" si="30"/>
        <v>0</v>
      </c>
      <c r="AU16" s="213">
        <f t="shared" si="31"/>
        <v>0</v>
      </c>
    </row>
    <row r="17" spans="2:47" x14ac:dyDescent="0.35">
      <c r="B17" s="190"/>
      <c r="C17" s="190"/>
      <c r="D17" s="190"/>
      <c r="E17" s="191" t="str">
        <f t="shared" si="21"/>
        <v>--</v>
      </c>
      <c r="F17" s="192"/>
      <c r="G17" s="190"/>
      <c r="H17" s="193"/>
      <c r="I17" s="193"/>
      <c r="J17" s="194"/>
      <c r="K17" s="195">
        <f t="shared" si="22"/>
        <v>31</v>
      </c>
      <c r="L17" s="195">
        <f t="shared" si="22"/>
        <v>31</v>
      </c>
      <c r="M17" s="190"/>
      <c r="N17" s="196"/>
      <c r="O17" s="197"/>
      <c r="P17" s="198" t="str">
        <f t="shared" si="0"/>
        <v/>
      </c>
      <c r="R17" s="201"/>
      <c r="S17" s="215" t="str">
        <f t="shared" si="1"/>
        <v/>
      </c>
      <c r="T17" s="216">
        <f t="shared" si="2"/>
        <v>0</v>
      </c>
      <c r="U17" s="217">
        <f t="shared" si="3"/>
        <v>0</v>
      </c>
      <c r="V17" s="218">
        <f t="shared" si="4"/>
        <v>0</v>
      </c>
      <c r="W17" s="219">
        <f t="shared" si="5"/>
        <v>0</v>
      </c>
      <c r="X17" s="220">
        <f t="shared" si="6"/>
        <v>0</v>
      </c>
      <c r="Y17" s="217">
        <f t="shared" si="7"/>
        <v>0</v>
      </c>
      <c r="Z17" s="218">
        <f t="shared" si="8"/>
        <v>0</v>
      </c>
      <c r="AA17" s="219">
        <f t="shared" si="9"/>
        <v>0</v>
      </c>
      <c r="AB17" s="220">
        <f t="shared" si="10"/>
        <v>0</v>
      </c>
      <c r="AC17" s="216">
        <f t="shared" si="11"/>
        <v>0</v>
      </c>
      <c r="AD17" s="218">
        <f t="shared" si="12"/>
        <v>0</v>
      </c>
      <c r="AE17" s="219">
        <f t="shared" si="13"/>
        <v>0</v>
      </c>
      <c r="AF17" s="220">
        <f t="shared" si="14"/>
        <v>0</v>
      </c>
      <c r="AG17" s="216">
        <f t="shared" si="15"/>
        <v>0</v>
      </c>
      <c r="AH17" s="218">
        <f t="shared" si="16"/>
        <v>0</v>
      </c>
      <c r="AI17" s="219">
        <f t="shared" si="17"/>
        <v>0</v>
      </c>
      <c r="AJ17" s="220">
        <f t="shared" si="18"/>
        <v>0</v>
      </c>
      <c r="AK17" s="208">
        <f t="shared" si="19"/>
        <v>0</v>
      </c>
      <c r="AL17" s="209" t="str">
        <f t="shared" si="23"/>
        <v/>
      </c>
      <c r="AN17" s="221">
        <f t="shared" si="24"/>
        <v>0</v>
      </c>
      <c r="AO17" s="211">
        <f t="shared" si="25"/>
        <v>0</v>
      </c>
      <c r="AP17" s="212">
        <f t="shared" si="26"/>
        <v>0</v>
      </c>
      <c r="AQ17" s="176">
        <f t="shared" si="27"/>
        <v>0</v>
      </c>
      <c r="AR17" s="213">
        <f t="shared" si="28"/>
        <v>0</v>
      </c>
      <c r="AS17" s="176">
        <f t="shared" si="29"/>
        <v>0</v>
      </c>
      <c r="AT17" s="214">
        <f t="shared" si="30"/>
        <v>0</v>
      </c>
      <c r="AU17" s="213">
        <f t="shared" si="31"/>
        <v>0</v>
      </c>
    </row>
    <row r="18" spans="2:47" x14ac:dyDescent="0.35">
      <c r="B18" s="190"/>
      <c r="C18" s="190"/>
      <c r="D18" s="190"/>
      <c r="E18" s="191" t="str">
        <f t="shared" si="21"/>
        <v>--</v>
      </c>
      <c r="F18" s="192"/>
      <c r="G18" s="190"/>
      <c r="H18" s="193"/>
      <c r="I18" s="193"/>
      <c r="J18" s="194"/>
      <c r="K18" s="195">
        <f t="shared" si="22"/>
        <v>31</v>
      </c>
      <c r="L18" s="195">
        <f t="shared" si="22"/>
        <v>31</v>
      </c>
      <c r="M18" s="190"/>
      <c r="N18" s="196"/>
      <c r="O18" s="197"/>
      <c r="P18" s="198" t="str">
        <f t="shared" si="0"/>
        <v/>
      </c>
      <c r="R18" s="201"/>
      <c r="S18" s="215" t="str">
        <f t="shared" si="1"/>
        <v/>
      </c>
      <c r="T18" s="216">
        <f t="shared" si="2"/>
        <v>0</v>
      </c>
      <c r="U18" s="217">
        <f t="shared" si="3"/>
        <v>0</v>
      </c>
      <c r="V18" s="218">
        <f t="shared" si="4"/>
        <v>0</v>
      </c>
      <c r="W18" s="219">
        <f t="shared" si="5"/>
        <v>0</v>
      </c>
      <c r="X18" s="220">
        <f t="shared" si="6"/>
        <v>0</v>
      </c>
      <c r="Y18" s="217">
        <f t="shared" si="7"/>
        <v>0</v>
      </c>
      <c r="Z18" s="218">
        <f t="shared" si="8"/>
        <v>0</v>
      </c>
      <c r="AA18" s="219">
        <f t="shared" si="9"/>
        <v>0</v>
      </c>
      <c r="AB18" s="220">
        <f t="shared" si="10"/>
        <v>0</v>
      </c>
      <c r="AC18" s="216">
        <f t="shared" si="11"/>
        <v>0</v>
      </c>
      <c r="AD18" s="218">
        <f t="shared" si="12"/>
        <v>0</v>
      </c>
      <c r="AE18" s="219">
        <f t="shared" si="13"/>
        <v>0</v>
      </c>
      <c r="AF18" s="220">
        <f t="shared" si="14"/>
        <v>0</v>
      </c>
      <c r="AG18" s="216">
        <f t="shared" si="15"/>
        <v>0</v>
      </c>
      <c r="AH18" s="218">
        <f t="shared" si="16"/>
        <v>0</v>
      </c>
      <c r="AI18" s="219">
        <f t="shared" si="17"/>
        <v>0</v>
      </c>
      <c r="AJ18" s="220">
        <f t="shared" si="18"/>
        <v>0</v>
      </c>
      <c r="AK18" s="208">
        <f t="shared" si="19"/>
        <v>0</v>
      </c>
      <c r="AL18" s="209" t="str">
        <f t="shared" si="23"/>
        <v/>
      </c>
      <c r="AN18" s="221">
        <f t="shared" si="24"/>
        <v>0</v>
      </c>
      <c r="AO18" s="211">
        <f t="shared" si="25"/>
        <v>0</v>
      </c>
      <c r="AP18" s="212">
        <f t="shared" si="26"/>
        <v>0</v>
      </c>
      <c r="AQ18" s="176">
        <f t="shared" si="27"/>
        <v>0</v>
      </c>
      <c r="AR18" s="213">
        <f t="shared" si="28"/>
        <v>0</v>
      </c>
      <c r="AS18" s="176">
        <f t="shared" si="29"/>
        <v>0</v>
      </c>
      <c r="AT18" s="214">
        <f t="shared" si="30"/>
        <v>0</v>
      </c>
      <c r="AU18" s="213">
        <f t="shared" si="31"/>
        <v>0</v>
      </c>
    </row>
    <row r="19" spans="2:47" s="222" customFormat="1" x14ac:dyDescent="0.35">
      <c r="B19" s="190"/>
      <c r="C19" s="190"/>
      <c r="D19" s="190"/>
      <c r="E19" s="191" t="str">
        <f t="shared" si="21"/>
        <v>--</v>
      </c>
      <c r="F19" s="192"/>
      <c r="G19" s="190"/>
      <c r="H19" s="193"/>
      <c r="I19" s="193"/>
      <c r="J19" s="194"/>
      <c r="K19" s="195">
        <f t="shared" si="22"/>
        <v>31</v>
      </c>
      <c r="L19" s="195">
        <f t="shared" si="22"/>
        <v>31</v>
      </c>
      <c r="M19" s="190"/>
      <c r="N19" s="196"/>
      <c r="O19" s="197"/>
      <c r="P19" s="198" t="str">
        <f t="shared" si="0"/>
        <v/>
      </c>
      <c r="R19" s="223"/>
      <c r="S19" s="215" t="str">
        <f t="shared" si="1"/>
        <v/>
      </c>
      <c r="T19" s="224">
        <f t="shared" si="2"/>
        <v>0</v>
      </c>
      <c r="U19" s="225">
        <f t="shared" si="3"/>
        <v>0</v>
      </c>
      <c r="V19" s="226">
        <f t="shared" si="4"/>
        <v>0</v>
      </c>
      <c r="W19" s="227">
        <f t="shared" si="5"/>
        <v>0</v>
      </c>
      <c r="X19" s="228">
        <f t="shared" si="6"/>
        <v>0</v>
      </c>
      <c r="Y19" s="225">
        <f t="shared" si="7"/>
        <v>0</v>
      </c>
      <c r="Z19" s="226">
        <f t="shared" si="8"/>
        <v>0</v>
      </c>
      <c r="AA19" s="227">
        <f t="shared" si="9"/>
        <v>0</v>
      </c>
      <c r="AB19" s="220">
        <f t="shared" si="10"/>
        <v>0</v>
      </c>
      <c r="AC19" s="224">
        <f t="shared" si="11"/>
        <v>0</v>
      </c>
      <c r="AD19" s="226">
        <f t="shared" si="12"/>
        <v>0</v>
      </c>
      <c r="AE19" s="227">
        <f t="shared" si="13"/>
        <v>0</v>
      </c>
      <c r="AF19" s="228">
        <f t="shared" si="14"/>
        <v>0</v>
      </c>
      <c r="AG19" s="224">
        <f t="shared" si="15"/>
        <v>0</v>
      </c>
      <c r="AH19" s="226">
        <f t="shared" si="16"/>
        <v>0</v>
      </c>
      <c r="AI19" s="227">
        <f t="shared" si="17"/>
        <v>0</v>
      </c>
      <c r="AJ19" s="228">
        <f t="shared" si="18"/>
        <v>0</v>
      </c>
      <c r="AK19" s="208">
        <f t="shared" si="19"/>
        <v>0</v>
      </c>
      <c r="AL19" s="209" t="str">
        <f t="shared" si="23"/>
        <v/>
      </c>
      <c r="AN19" s="221">
        <f t="shared" si="24"/>
        <v>0</v>
      </c>
      <c r="AO19" s="211">
        <f t="shared" si="25"/>
        <v>0</v>
      </c>
      <c r="AP19" s="212">
        <f t="shared" si="26"/>
        <v>0</v>
      </c>
      <c r="AQ19" s="176">
        <f t="shared" si="27"/>
        <v>0</v>
      </c>
      <c r="AR19" s="213">
        <f t="shared" si="28"/>
        <v>0</v>
      </c>
      <c r="AS19" s="176">
        <f t="shared" si="29"/>
        <v>0</v>
      </c>
      <c r="AT19" s="214">
        <f t="shared" si="30"/>
        <v>0</v>
      </c>
      <c r="AU19" s="213">
        <f t="shared" si="31"/>
        <v>0</v>
      </c>
    </row>
    <row r="20" spans="2:47" x14ac:dyDescent="0.35">
      <c r="B20" s="190"/>
      <c r="C20" s="190"/>
      <c r="D20" s="190"/>
      <c r="E20" s="191" t="str">
        <f t="shared" si="21"/>
        <v>--</v>
      </c>
      <c r="F20" s="192"/>
      <c r="G20" s="190"/>
      <c r="H20" s="193"/>
      <c r="I20" s="193"/>
      <c r="J20" s="194"/>
      <c r="K20" s="195">
        <f t="shared" si="22"/>
        <v>31</v>
      </c>
      <c r="L20" s="195">
        <f t="shared" si="22"/>
        <v>31</v>
      </c>
      <c r="M20" s="190"/>
      <c r="N20" s="196"/>
      <c r="O20" s="197"/>
      <c r="P20" s="198" t="str">
        <f t="shared" si="0"/>
        <v/>
      </c>
      <c r="Q20" s="199"/>
      <c r="R20" s="201"/>
      <c r="S20" s="215" t="str">
        <f t="shared" si="1"/>
        <v/>
      </c>
      <c r="T20" s="216">
        <f t="shared" si="2"/>
        <v>0</v>
      </c>
      <c r="U20" s="217">
        <f t="shared" si="3"/>
        <v>0</v>
      </c>
      <c r="V20" s="218">
        <f t="shared" si="4"/>
        <v>0</v>
      </c>
      <c r="W20" s="219">
        <f t="shared" si="5"/>
        <v>0</v>
      </c>
      <c r="X20" s="220">
        <f t="shared" si="6"/>
        <v>0</v>
      </c>
      <c r="Y20" s="217">
        <f t="shared" si="7"/>
        <v>0</v>
      </c>
      <c r="Z20" s="218">
        <f t="shared" si="8"/>
        <v>0</v>
      </c>
      <c r="AA20" s="219">
        <f t="shared" si="9"/>
        <v>0</v>
      </c>
      <c r="AB20" s="220">
        <f t="shared" si="10"/>
        <v>0</v>
      </c>
      <c r="AC20" s="216">
        <f t="shared" si="11"/>
        <v>0</v>
      </c>
      <c r="AD20" s="218">
        <f t="shared" si="12"/>
        <v>0</v>
      </c>
      <c r="AE20" s="219">
        <f t="shared" si="13"/>
        <v>0</v>
      </c>
      <c r="AF20" s="220">
        <f t="shared" si="14"/>
        <v>0</v>
      </c>
      <c r="AG20" s="216">
        <f t="shared" si="15"/>
        <v>0</v>
      </c>
      <c r="AH20" s="218">
        <f t="shared" si="16"/>
        <v>0</v>
      </c>
      <c r="AI20" s="219">
        <f t="shared" si="17"/>
        <v>0</v>
      </c>
      <c r="AJ20" s="220">
        <f t="shared" si="18"/>
        <v>0</v>
      </c>
      <c r="AK20" s="208">
        <f t="shared" si="19"/>
        <v>0</v>
      </c>
      <c r="AL20" s="209" t="str">
        <f t="shared" si="23"/>
        <v/>
      </c>
      <c r="AN20" s="221">
        <f t="shared" si="24"/>
        <v>0</v>
      </c>
      <c r="AO20" s="211">
        <f t="shared" si="25"/>
        <v>0</v>
      </c>
      <c r="AP20" s="212">
        <f t="shared" si="26"/>
        <v>0</v>
      </c>
      <c r="AQ20" s="176">
        <f t="shared" si="27"/>
        <v>0</v>
      </c>
      <c r="AR20" s="213">
        <f t="shared" si="28"/>
        <v>0</v>
      </c>
      <c r="AS20" s="176">
        <f t="shared" si="29"/>
        <v>0</v>
      </c>
      <c r="AT20" s="214">
        <f t="shared" si="30"/>
        <v>0</v>
      </c>
      <c r="AU20" s="213">
        <f t="shared" si="31"/>
        <v>0</v>
      </c>
    </row>
    <row r="21" spans="2:47" x14ac:dyDescent="0.35">
      <c r="B21" s="190"/>
      <c r="C21" s="190"/>
      <c r="D21" s="190"/>
      <c r="E21" s="191" t="str">
        <f t="shared" si="21"/>
        <v>--</v>
      </c>
      <c r="F21" s="192"/>
      <c r="G21" s="190"/>
      <c r="H21" s="193"/>
      <c r="I21" s="193"/>
      <c r="J21" s="194"/>
      <c r="K21" s="195">
        <f t="shared" si="22"/>
        <v>31</v>
      </c>
      <c r="L21" s="195">
        <f t="shared" si="22"/>
        <v>31</v>
      </c>
      <c r="M21" s="190"/>
      <c r="N21" s="196"/>
      <c r="O21" s="197"/>
      <c r="P21" s="198" t="str">
        <f t="shared" si="0"/>
        <v/>
      </c>
      <c r="R21" s="201"/>
      <c r="S21" s="215" t="str">
        <f t="shared" si="1"/>
        <v/>
      </c>
      <c r="T21" s="216">
        <f t="shared" si="2"/>
        <v>0</v>
      </c>
      <c r="U21" s="217">
        <f t="shared" si="3"/>
        <v>0</v>
      </c>
      <c r="V21" s="218">
        <f t="shared" si="4"/>
        <v>0</v>
      </c>
      <c r="W21" s="219">
        <f t="shared" si="5"/>
        <v>0</v>
      </c>
      <c r="X21" s="220">
        <f t="shared" si="6"/>
        <v>0</v>
      </c>
      <c r="Y21" s="217">
        <f t="shared" si="7"/>
        <v>0</v>
      </c>
      <c r="Z21" s="218">
        <f t="shared" si="8"/>
        <v>0</v>
      </c>
      <c r="AA21" s="219">
        <f t="shared" si="9"/>
        <v>0</v>
      </c>
      <c r="AB21" s="220">
        <f t="shared" si="10"/>
        <v>0</v>
      </c>
      <c r="AC21" s="216">
        <f t="shared" si="11"/>
        <v>0</v>
      </c>
      <c r="AD21" s="218">
        <f t="shared" si="12"/>
        <v>0</v>
      </c>
      <c r="AE21" s="219">
        <f t="shared" si="13"/>
        <v>0</v>
      </c>
      <c r="AF21" s="220">
        <f t="shared" si="14"/>
        <v>0</v>
      </c>
      <c r="AG21" s="216">
        <f t="shared" si="15"/>
        <v>0</v>
      </c>
      <c r="AH21" s="218">
        <f t="shared" si="16"/>
        <v>0</v>
      </c>
      <c r="AI21" s="219">
        <f t="shared" si="17"/>
        <v>0</v>
      </c>
      <c r="AJ21" s="220">
        <f t="shared" si="18"/>
        <v>0</v>
      </c>
      <c r="AK21" s="208">
        <f t="shared" si="19"/>
        <v>0</v>
      </c>
      <c r="AL21" s="209" t="str">
        <f t="shared" si="23"/>
        <v/>
      </c>
      <c r="AN21" s="221">
        <f t="shared" si="24"/>
        <v>0</v>
      </c>
      <c r="AO21" s="211">
        <f t="shared" si="25"/>
        <v>0</v>
      </c>
      <c r="AP21" s="212">
        <f t="shared" si="26"/>
        <v>0</v>
      </c>
      <c r="AQ21" s="176">
        <f t="shared" si="27"/>
        <v>0</v>
      </c>
      <c r="AR21" s="213">
        <f t="shared" si="28"/>
        <v>0</v>
      </c>
      <c r="AS21" s="176">
        <f t="shared" si="29"/>
        <v>0</v>
      </c>
      <c r="AT21" s="214">
        <f t="shared" si="30"/>
        <v>0</v>
      </c>
      <c r="AU21" s="213">
        <f t="shared" si="31"/>
        <v>0</v>
      </c>
    </row>
    <row r="22" spans="2:47" x14ac:dyDescent="0.35">
      <c r="B22" s="190"/>
      <c r="C22" s="190"/>
      <c r="D22" s="190"/>
      <c r="E22" s="191" t="str">
        <f t="shared" si="21"/>
        <v>--</v>
      </c>
      <c r="F22" s="192"/>
      <c r="G22" s="190"/>
      <c r="H22" s="193"/>
      <c r="I22" s="193"/>
      <c r="J22" s="194"/>
      <c r="K22" s="195">
        <f t="shared" si="22"/>
        <v>31</v>
      </c>
      <c r="L22" s="195">
        <f t="shared" si="22"/>
        <v>31</v>
      </c>
      <c r="M22" s="190"/>
      <c r="N22" s="196"/>
      <c r="O22" s="197"/>
      <c r="P22" s="198" t="str">
        <f t="shared" si="0"/>
        <v/>
      </c>
      <c r="R22" s="201"/>
      <c r="S22" s="215" t="str">
        <f t="shared" si="1"/>
        <v/>
      </c>
      <c r="T22" s="216">
        <f t="shared" si="2"/>
        <v>0</v>
      </c>
      <c r="U22" s="217">
        <f t="shared" si="3"/>
        <v>0</v>
      </c>
      <c r="V22" s="218">
        <f t="shared" si="4"/>
        <v>0</v>
      </c>
      <c r="W22" s="219">
        <f t="shared" si="5"/>
        <v>0</v>
      </c>
      <c r="X22" s="220">
        <f t="shared" si="6"/>
        <v>0</v>
      </c>
      <c r="Y22" s="217">
        <f t="shared" si="7"/>
        <v>0</v>
      </c>
      <c r="Z22" s="218">
        <f t="shared" si="8"/>
        <v>0</v>
      </c>
      <c r="AA22" s="219">
        <f t="shared" si="9"/>
        <v>0</v>
      </c>
      <c r="AB22" s="220">
        <f t="shared" si="10"/>
        <v>0</v>
      </c>
      <c r="AC22" s="216">
        <f t="shared" si="11"/>
        <v>0</v>
      </c>
      <c r="AD22" s="218">
        <f t="shared" si="12"/>
        <v>0</v>
      </c>
      <c r="AE22" s="219">
        <f t="shared" si="13"/>
        <v>0</v>
      </c>
      <c r="AF22" s="220">
        <f t="shared" si="14"/>
        <v>0</v>
      </c>
      <c r="AG22" s="216">
        <f t="shared" si="15"/>
        <v>0</v>
      </c>
      <c r="AH22" s="218">
        <f t="shared" si="16"/>
        <v>0</v>
      </c>
      <c r="AI22" s="219">
        <f t="shared" si="17"/>
        <v>0</v>
      </c>
      <c r="AJ22" s="220">
        <f t="shared" si="18"/>
        <v>0</v>
      </c>
      <c r="AK22" s="208">
        <f t="shared" si="19"/>
        <v>0</v>
      </c>
      <c r="AL22" s="209" t="str">
        <f t="shared" si="23"/>
        <v/>
      </c>
      <c r="AN22" s="221">
        <f t="shared" si="24"/>
        <v>0</v>
      </c>
      <c r="AO22" s="211">
        <f t="shared" si="25"/>
        <v>0</v>
      </c>
      <c r="AP22" s="212">
        <f t="shared" si="26"/>
        <v>0</v>
      </c>
      <c r="AQ22" s="176">
        <f t="shared" si="27"/>
        <v>0</v>
      </c>
      <c r="AR22" s="213">
        <f t="shared" si="28"/>
        <v>0</v>
      </c>
      <c r="AS22" s="176">
        <f t="shared" si="29"/>
        <v>0</v>
      </c>
      <c r="AT22" s="214">
        <f t="shared" si="30"/>
        <v>0</v>
      </c>
      <c r="AU22" s="213">
        <f t="shared" si="31"/>
        <v>0</v>
      </c>
    </row>
    <row r="23" spans="2:47" x14ac:dyDescent="0.35">
      <c r="B23" s="190"/>
      <c r="C23" s="190"/>
      <c r="D23" s="190"/>
      <c r="E23" s="191" t="str">
        <f t="shared" si="21"/>
        <v>--</v>
      </c>
      <c r="F23" s="192"/>
      <c r="G23" s="190"/>
      <c r="H23" s="193"/>
      <c r="I23" s="193"/>
      <c r="J23" s="194"/>
      <c r="K23" s="195">
        <f t="shared" si="22"/>
        <v>31</v>
      </c>
      <c r="L23" s="195">
        <f t="shared" si="22"/>
        <v>31</v>
      </c>
      <c r="M23" s="190"/>
      <c r="N23" s="196"/>
      <c r="O23" s="197"/>
      <c r="P23" s="198" t="str">
        <f t="shared" si="0"/>
        <v/>
      </c>
      <c r="R23" s="201"/>
      <c r="S23" s="215" t="str">
        <f t="shared" si="1"/>
        <v/>
      </c>
      <c r="T23" s="216">
        <f t="shared" si="2"/>
        <v>0</v>
      </c>
      <c r="U23" s="217">
        <f t="shared" si="3"/>
        <v>0</v>
      </c>
      <c r="V23" s="218">
        <f t="shared" si="4"/>
        <v>0</v>
      </c>
      <c r="W23" s="219">
        <f t="shared" si="5"/>
        <v>0</v>
      </c>
      <c r="X23" s="220">
        <f t="shared" si="6"/>
        <v>0</v>
      </c>
      <c r="Y23" s="217">
        <f t="shared" si="7"/>
        <v>0</v>
      </c>
      <c r="Z23" s="218">
        <f t="shared" si="8"/>
        <v>0</v>
      </c>
      <c r="AA23" s="219">
        <f t="shared" si="9"/>
        <v>0</v>
      </c>
      <c r="AB23" s="220">
        <f t="shared" si="10"/>
        <v>0</v>
      </c>
      <c r="AC23" s="216">
        <f t="shared" si="11"/>
        <v>0</v>
      </c>
      <c r="AD23" s="218">
        <f t="shared" si="12"/>
        <v>0</v>
      </c>
      <c r="AE23" s="219">
        <f t="shared" si="13"/>
        <v>0</v>
      </c>
      <c r="AF23" s="220">
        <f t="shared" si="14"/>
        <v>0</v>
      </c>
      <c r="AG23" s="216">
        <f t="shared" si="15"/>
        <v>0</v>
      </c>
      <c r="AH23" s="218">
        <f t="shared" si="16"/>
        <v>0</v>
      </c>
      <c r="AI23" s="219">
        <f t="shared" si="17"/>
        <v>0</v>
      </c>
      <c r="AJ23" s="220">
        <f t="shared" si="18"/>
        <v>0</v>
      </c>
      <c r="AK23" s="208">
        <f t="shared" si="19"/>
        <v>0</v>
      </c>
      <c r="AL23" s="209" t="str">
        <f t="shared" si="23"/>
        <v/>
      </c>
      <c r="AN23" s="221">
        <f t="shared" si="24"/>
        <v>0</v>
      </c>
      <c r="AO23" s="211">
        <f t="shared" si="25"/>
        <v>0</v>
      </c>
      <c r="AP23" s="212">
        <f t="shared" si="26"/>
        <v>0</v>
      </c>
      <c r="AQ23" s="176">
        <f t="shared" si="27"/>
        <v>0</v>
      </c>
      <c r="AR23" s="213">
        <f t="shared" si="28"/>
        <v>0</v>
      </c>
      <c r="AS23" s="176">
        <f t="shared" si="29"/>
        <v>0</v>
      </c>
      <c r="AT23" s="214">
        <f t="shared" si="30"/>
        <v>0</v>
      </c>
      <c r="AU23" s="213">
        <f t="shared" si="31"/>
        <v>0</v>
      </c>
    </row>
    <row r="24" spans="2:47" x14ac:dyDescent="0.35">
      <c r="B24" s="190"/>
      <c r="C24" s="190"/>
      <c r="D24" s="190"/>
      <c r="E24" s="191" t="str">
        <f t="shared" si="21"/>
        <v>--</v>
      </c>
      <c r="F24" s="192"/>
      <c r="G24" s="190"/>
      <c r="H24" s="193"/>
      <c r="I24" s="193"/>
      <c r="J24" s="194"/>
      <c r="K24" s="195">
        <f t="shared" si="22"/>
        <v>31</v>
      </c>
      <c r="L24" s="195">
        <f t="shared" si="22"/>
        <v>31</v>
      </c>
      <c r="M24" s="190"/>
      <c r="N24" s="196"/>
      <c r="O24" s="197"/>
      <c r="P24" s="198" t="str">
        <f t="shared" si="0"/>
        <v/>
      </c>
      <c r="Q24" s="199"/>
      <c r="R24" s="201"/>
      <c r="S24" s="215" t="str">
        <f t="shared" si="1"/>
        <v/>
      </c>
      <c r="T24" s="216">
        <f t="shared" si="2"/>
        <v>0</v>
      </c>
      <c r="U24" s="217">
        <f t="shared" si="3"/>
        <v>0</v>
      </c>
      <c r="V24" s="218">
        <f t="shared" si="4"/>
        <v>0</v>
      </c>
      <c r="W24" s="219">
        <f t="shared" si="5"/>
        <v>0</v>
      </c>
      <c r="X24" s="220">
        <f t="shared" si="6"/>
        <v>0</v>
      </c>
      <c r="Y24" s="217">
        <f t="shared" si="7"/>
        <v>0</v>
      </c>
      <c r="Z24" s="218">
        <f t="shared" si="8"/>
        <v>0</v>
      </c>
      <c r="AA24" s="219">
        <f t="shared" si="9"/>
        <v>0</v>
      </c>
      <c r="AB24" s="220">
        <f t="shared" si="10"/>
        <v>0</v>
      </c>
      <c r="AC24" s="216">
        <f t="shared" si="11"/>
        <v>0</v>
      </c>
      <c r="AD24" s="218">
        <f t="shared" si="12"/>
        <v>0</v>
      </c>
      <c r="AE24" s="219">
        <f t="shared" si="13"/>
        <v>0</v>
      </c>
      <c r="AF24" s="220">
        <f t="shared" si="14"/>
        <v>0</v>
      </c>
      <c r="AG24" s="216">
        <f t="shared" si="15"/>
        <v>0</v>
      </c>
      <c r="AH24" s="218">
        <f t="shared" si="16"/>
        <v>0</v>
      </c>
      <c r="AI24" s="219">
        <f t="shared" si="17"/>
        <v>0</v>
      </c>
      <c r="AJ24" s="220">
        <f t="shared" si="18"/>
        <v>0</v>
      </c>
      <c r="AK24" s="208">
        <f t="shared" si="19"/>
        <v>0</v>
      </c>
      <c r="AL24" s="209" t="str">
        <f t="shared" si="23"/>
        <v/>
      </c>
      <c r="AN24" s="221">
        <f t="shared" si="24"/>
        <v>0</v>
      </c>
      <c r="AO24" s="211">
        <f t="shared" si="25"/>
        <v>0</v>
      </c>
      <c r="AP24" s="212">
        <f t="shared" si="26"/>
        <v>0</v>
      </c>
      <c r="AQ24" s="176">
        <f t="shared" si="27"/>
        <v>0</v>
      </c>
      <c r="AR24" s="213">
        <f t="shared" si="28"/>
        <v>0</v>
      </c>
      <c r="AS24" s="176">
        <f t="shared" si="29"/>
        <v>0</v>
      </c>
      <c r="AT24" s="214">
        <f t="shared" si="30"/>
        <v>0</v>
      </c>
      <c r="AU24" s="213">
        <f t="shared" si="31"/>
        <v>0</v>
      </c>
    </row>
    <row r="25" spans="2:47" x14ac:dyDescent="0.35">
      <c r="B25" s="190"/>
      <c r="C25" s="190"/>
      <c r="D25" s="190"/>
      <c r="E25" s="191" t="str">
        <f t="shared" si="21"/>
        <v>--</v>
      </c>
      <c r="F25" s="192"/>
      <c r="G25" s="190"/>
      <c r="H25" s="193"/>
      <c r="I25" s="193"/>
      <c r="J25" s="194"/>
      <c r="K25" s="195">
        <f t="shared" si="22"/>
        <v>31</v>
      </c>
      <c r="L25" s="195">
        <f t="shared" si="22"/>
        <v>31</v>
      </c>
      <c r="M25" s="190"/>
      <c r="N25" s="196"/>
      <c r="O25" s="197"/>
      <c r="P25" s="198" t="str">
        <f t="shared" si="0"/>
        <v/>
      </c>
      <c r="R25" s="201"/>
      <c r="S25" s="215" t="str">
        <f t="shared" si="1"/>
        <v/>
      </c>
      <c r="T25" s="216">
        <f t="shared" si="2"/>
        <v>0</v>
      </c>
      <c r="U25" s="217">
        <f t="shared" si="3"/>
        <v>0</v>
      </c>
      <c r="V25" s="218">
        <f t="shared" si="4"/>
        <v>0</v>
      </c>
      <c r="W25" s="219">
        <f t="shared" si="5"/>
        <v>0</v>
      </c>
      <c r="X25" s="220">
        <f t="shared" si="6"/>
        <v>0</v>
      </c>
      <c r="Y25" s="217">
        <f t="shared" si="7"/>
        <v>0</v>
      </c>
      <c r="Z25" s="218">
        <f t="shared" si="8"/>
        <v>0</v>
      </c>
      <c r="AA25" s="219">
        <f t="shared" si="9"/>
        <v>0</v>
      </c>
      <c r="AB25" s="220">
        <f t="shared" si="10"/>
        <v>0</v>
      </c>
      <c r="AC25" s="216">
        <f t="shared" si="11"/>
        <v>0</v>
      </c>
      <c r="AD25" s="218">
        <f t="shared" si="12"/>
        <v>0</v>
      </c>
      <c r="AE25" s="219">
        <f t="shared" si="13"/>
        <v>0</v>
      </c>
      <c r="AF25" s="220">
        <f t="shared" si="14"/>
        <v>0</v>
      </c>
      <c r="AG25" s="216">
        <f t="shared" si="15"/>
        <v>0</v>
      </c>
      <c r="AH25" s="218">
        <f t="shared" si="16"/>
        <v>0</v>
      </c>
      <c r="AI25" s="219">
        <f t="shared" si="17"/>
        <v>0</v>
      </c>
      <c r="AJ25" s="220">
        <f t="shared" si="18"/>
        <v>0</v>
      </c>
      <c r="AK25" s="208">
        <f t="shared" si="19"/>
        <v>0</v>
      </c>
      <c r="AL25" s="209" t="str">
        <f t="shared" si="23"/>
        <v/>
      </c>
      <c r="AN25" s="221">
        <f t="shared" si="24"/>
        <v>0</v>
      </c>
      <c r="AO25" s="211">
        <f t="shared" si="25"/>
        <v>0</v>
      </c>
      <c r="AP25" s="212">
        <f t="shared" si="26"/>
        <v>0</v>
      </c>
      <c r="AQ25" s="176">
        <f t="shared" si="27"/>
        <v>0</v>
      </c>
      <c r="AR25" s="213">
        <f t="shared" si="28"/>
        <v>0</v>
      </c>
      <c r="AS25" s="176">
        <f t="shared" si="29"/>
        <v>0</v>
      </c>
      <c r="AT25" s="214">
        <f t="shared" si="30"/>
        <v>0</v>
      </c>
      <c r="AU25" s="213">
        <f t="shared" si="31"/>
        <v>0</v>
      </c>
    </row>
    <row r="26" spans="2:47" x14ac:dyDescent="0.35">
      <c r="B26" s="190"/>
      <c r="C26" s="190"/>
      <c r="D26" s="190"/>
      <c r="E26" s="191" t="str">
        <f t="shared" si="21"/>
        <v>--</v>
      </c>
      <c r="F26" s="192"/>
      <c r="G26" s="190"/>
      <c r="H26" s="193"/>
      <c r="I26" s="193"/>
      <c r="J26" s="194"/>
      <c r="K26" s="195">
        <f t="shared" si="22"/>
        <v>31</v>
      </c>
      <c r="L26" s="195">
        <f t="shared" si="22"/>
        <v>31</v>
      </c>
      <c r="M26" s="190"/>
      <c r="N26" s="196"/>
      <c r="O26" s="197"/>
      <c r="P26" s="198" t="str">
        <f t="shared" si="0"/>
        <v/>
      </c>
      <c r="Q26" s="229"/>
      <c r="R26" s="201"/>
      <c r="S26" s="215" t="str">
        <f t="shared" si="1"/>
        <v/>
      </c>
      <c r="T26" s="216">
        <f t="shared" si="2"/>
        <v>0</v>
      </c>
      <c r="U26" s="217">
        <f t="shared" si="3"/>
        <v>0</v>
      </c>
      <c r="V26" s="218">
        <f t="shared" si="4"/>
        <v>0</v>
      </c>
      <c r="W26" s="219">
        <f t="shared" si="5"/>
        <v>0</v>
      </c>
      <c r="X26" s="220">
        <f t="shared" si="6"/>
        <v>0</v>
      </c>
      <c r="Y26" s="217">
        <f t="shared" si="7"/>
        <v>0</v>
      </c>
      <c r="Z26" s="218">
        <f t="shared" si="8"/>
        <v>0</v>
      </c>
      <c r="AA26" s="219">
        <f t="shared" si="9"/>
        <v>0</v>
      </c>
      <c r="AB26" s="220">
        <f t="shared" si="10"/>
        <v>0</v>
      </c>
      <c r="AC26" s="216">
        <f t="shared" si="11"/>
        <v>0</v>
      </c>
      <c r="AD26" s="218">
        <f t="shared" si="12"/>
        <v>0</v>
      </c>
      <c r="AE26" s="219">
        <f t="shared" si="13"/>
        <v>0</v>
      </c>
      <c r="AF26" s="220">
        <f t="shared" si="14"/>
        <v>0</v>
      </c>
      <c r="AG26" s="216">
        <f t="shared" si="15"/>
        <v>0</v>
      </c>
      <c r="AH26" s="218">
        <f t="shared" si="16"/>
        <v>0</v>
      </c>
      <c r="AI26" s="219">
        <f t="shared" si="17"/>
        <v>0</v>
      </c>
      <c r="AJ26" s="220">
        <f t="shared" si="18"/>
        <v>0</v>
      </c>
      <c r="AK26" s="208">
        <f t="shared" si="19"/>
        <v>0</v>
      </c>
      <c r="AL26" s="209" t="str">
        <f t="shared" si="23"/>
        <v/>
      </c>
      <c r="AN26" s="221">
        <f t="shared" si="24"/>
        <v>0</v>
      </c>
      <c r="AO26" s="211">
        <f t="shared" si="25"/>
        <v>0</v>
      </c>
      <c r="AP26" s="212">
        <f t="shared" si="26"/>
        <v>0</v>
      </c>
      <c r="AQ26" s="176">
        <f t="shared" si="27"/>
        <v>0</v>
      </c>
      <c r="AR26" s="213">
        <f t="shared" si="28"/>
        <v>0</v>
      </c>
      <c r="AS26" s="176">
        <f t="shared" si="29"/>
        <v>0</v>
      </c>
      <c r="AT26" s="214">
        <f t="shared" si="30"/>
        <v>0</v>
      </c>
      <c r="AU26" s="213">
        <f t="shared" si="31"/>
        <v>0</v>
      </c>
    </row>
    <row r="27" spans="2:47" x14ac:dyDescent="0.35">
      <c r="B27" s="190"/>
      <c r="C27" s="190"/>
      <c r="D27" s="190"/>
      <c r="E27" s="191" t="str">
        <f t="shared" si="21"/>
        <v>--</v>
      </c>
      <c r="F27" s="192"/>
      <c r="G27" s="190"/>
      <c r="H27" s="193"/>
      <c r="I27" s="193"/>
      <c r="J27" s="194"/>
      <c r="K27" s="195">
        <f t="shared" si="22"/>
        <v>31</v>
      </c>
      <c r="L27" s="195">
        <f t="shared" si="22"/>
        <v>31</v>
      </c>
      <c r="M27" s="190"/>
      <c r="N27" s="196"/>
      <c r="O27" s="197"/>
      <c r="P27" s="198" t="str">
        <f t="shared" si="0"/>
        <v/>
      </c>
      <c r="R27" s="201"/>
      <c r="S27" s="215" t="str">
        <f t="shared" si="1"/>
        <v/>
      </c>
      <c r="T27" s="216">
        <f t="shared" si="2"/>
        <v>0</v>
      </c>
      <c r="U27" s="217">
        <f t="shared" si="3"/>
        <v>0</v>
      </c>
      <c r="V27" s="218">
        <f t="shared" si="4"/>
        <v>0</v>
      </c>
      <c r="W27" s="219">
        <f t="shared" si="5"/>
        <v>0</v>
      </c>
      <c r="X27" s="220">
        <f t="shared" si="6"/>
        <v>0</v>
      </c>
      <c r="Y27" s="217">
        <f t="shared" si="7"/>
        <v>0</v>
      </c>
      <c r="Z27" s="218">
        <f t="shared" si="8"/>
        <v>0</v>
      </c>
      <c r="AA27" s="219">
        <f t="shared" si="9"/>
        <v>0</v>
      </c>
      <c r="AB27" s="220">
        <f t="shared" si="10"/>
        <v>0</v>
      </c>
      <c r="AC27" s="216">
        <f t="shared" si="11"/>
        <v>0</v>
      </c>
      <c r="AD27" s="218">
        <f t="shared" si="12"/>
        <v>0</v>
      </c>
      <c r="AE27" s="219">
        <f t="shared" si="13"/>
        <v>0</v>
      </c>
      <c r="AF27" s="220">
        <f t="shared" si="14"/>
        <v>0</v>
      </c>
      <c r="AG27" s="216">
        <f t="shared" si="15"/>
        <v>0</v>
      </c>
      <c r="AH27" s="218">
        <f t="shared" si="16"/>
        <v>0</v>
      </c>
      <c r="AI27" s="219">
        <f t="shared" si="17"/>
        <v>0</v>
      </c>
      <c r="AJ27" s="220">
        <f t="shared" si="18"/>
        <v>0</v>
      </c>
      <c r="AK27" s="208">
        <f t="shared" si="19"/>
        <v>0</v>
      </c>
      <c r="AL27" s="209" t="str">
        <f t="shared" si="23"/>
        <v/>
      </c>
      <c r="AN27" s="221">
        <f t="shared" si="24"/>
        <v>0</v>
      </c>
      <c r="AO27" s="211">
        <f t="shared" si="25"/>
        <v>0</v>
      </c>
      <c r="AP27" s="212">
        <f t="shared" si="26"/>
        <v>0</v>
      </c>
      <c r="AQ27" s="176">
        <f t="shared" si="27"/>
        <v>0</v>
      </c>
      <c r="AR27" s="213">
        <f t="shared" si="28"/>
        <v>0</v>
      </c>
      <c r="AS27" s="176">
        <f t="shared" si="29"/>
        <v>0</v>
      </c>
      <c r="AT27" s="214">
        <f t="shared" si="30"/>
        <v>0</v>
      </c>
      <c r="AU27" s="213">
        <f t="shared" si="31"/>
        <v>0</v>
      </c>
    </row>
    <row r="28" spans="2:47" x14ac:dyDescent="0.35">
      <c r="B28" s="190"/>
      <c r="C28" s="190"/>
      <c r="D28" s="190"/>
      <c r="E28" s="191" t="str">
        <f t="shared" si="21"/>
        <v>--</v>
      </c>
      <c r="F28" s="192"/>
      <c r="G28" s="190"/>
      <c r="H28" s="193"/>
      <c r="I28" s="193"/>
      <c r="J28" s="194"/>
      <c r="K28" s="195">
        <f t="shared" si="22"/>
        <v>31</v>
      </c>
      <c r="L28" s="195">
        <f t="shared" si="22"/>
        <v>31</v>
      </c>
      <c r="M28" s="190"/>
      <c r="N28" s="196"/>
      <c r="O28" s="197"/>
      <c r="P28" s="198" t="str">
        <f t="shared" si="0"/>
        <v/>
      </c>
      <c r="Q28" s="229"/>
      <c r="R28" s="201"/>
      <c r="S28" s="215" t="str">
        <f t="shared" si="1"/>
        <v/>
      </c>
      <c r="T28" s="216">
        <f t="shared" si="2"/>
        <v>0</v>
      </c>
      <c r="U28" s="217">
        <f t="shared" si="3"/>
        <v>0</v>
      </c>
      <c r="V28" s="218">
        <f t="shared" si="4"/>
        <v>0</v>
      </c>
      <c r="W28" s="219">
        <f t="shared" si="5"/>
        <v>0</v>
      </c>
      <c r="X28" s="220">
        <f t="shared" si="6"/>
        <v>0</v>
      </c>
      <c r="Y28" s="217">
        <f t="shared" si="7"/>
        <v>0</v>
      </c>
      <c r="Z28" s="218">
        <f t="shared" si="8"/>
        <v>0</v>
      </c>
      <c r="AA28" s="219">
        <f t="shared" si="9"/>
        <v>0</v>
      </c>
      <c r="AB28" s="220">
        <f t="shared" si="10"/>
        <v>0</v>
      </c>
      <c r="AC28" s="216">
        <f t="shared" si="11"/>
        <v>0</v>
      </c>
      <c r="AD28" s="218">
        <f t="shared" si="12"/>
        <v>0</v>
      </c>
      <c r="AE28" s="219">
        <f t="shared" si="13"/>
        <v>0</v>
      </c>
      <c r="AF28" s="220">
        <f t="shared" si="14"/>
        <v>0</v>
      </c>
      <c r="AG28" s="216">
        <f t="shared" si="15"/>
        <v>0</v>
      </c>
      <c r="AH28" s="218">
        <f t="shared" si="16"/>
        <v>0</v>
      </c>
      <c r="AI28" s="219">
        <f t="shared" si="17"/>
        <v>0</v>
      </c>
      <c r="AJ28" s="220">
        <f t="shared" si="18"/>
        <v>0</v>
      </c>
      <c r="AK28" s="208">
        <f t="shared" si="19"/>
        <v>0</v>
      </c>
      <c r="AL28" s="209" t="str">
        <f t="shared" si="23"/>
        <v/>
      </c>
      <c r="AN28" s="221">
        <f t="shared" si="24"/>
        <v>0</v>
      </c>
      <c r="AO28" s="211">
        <f t="shared" si="25"/>
        <v>0</v>
      </c>
      <c r="AP28" s="212">
        <f t="shared" si="26"/>
        <v>0</v>
      </c>
      <c r="AQ28" s="176">
        <f t="shared" si="27"/>
        <v>0</v>
      </c>
      <c r="AR28" s="213">
        <f t="shared" si="28"/>
        <v>0</v>
      </c>
      <c r="AS28" s="176">
        <f t="shared" si="29"/>
        <v>0</v>
      </c>
      <c r="AT28" s="214">
        <f t="shared" si="30"/>
        <v>0</v>
      </c>
      <c r="AU28" s="213">
        <f t="shared" si="31"/>
        <v>0</v>
      </c>
    </row>
    <row r="29" spans="2:47" x14ac:dyDescent="0.35">
      <c r="B29" s="190"/>
      <c r="C29" s="190"/>
      <c r="D29" s="190"/>
      <c r="E29" s="191" t="str">
        <f t="shared" si="21"/>
        <v>--</v>
      </c>
      <c r="F29" s="192"/>
      <c r="G29" s="190"/>
      <c r="H29" s="193"/>
      <c r="I29" s="193"/>
      <c r="J29" s="194"/>
      <c r="K29" s="195">
        <f t="shared" si="22"/>
        <v>31</v>
      </c>
      <c r="L29" s="195">
        <f t="shared" si="22"/>
        <v>31</v>
      </c>
      <c r="M29" s="190"/>
      <c r="N29" s="196"/>
      <c r="O29" s="197"/>
      <c r="P29" s="198" t="str">
        <f t="shared" si="0"/>
        <v/>
      </c>
      <c r="Q29" s="229"/>
      <c r="R29" s="201"/>
      <c r="S29" s="215" t="str">
        <f t="shared" si="1"/>
        <v/>
      </c>
      <c r="T29" s="216">
        <f t="shared" si="2"/>
        <v>0</v>
      </c>
      <c r="U29" s="217">
        <f t="shared" si="3"/>
        <v>0</v>
      </c>
      <c r="V29" s="218">
        <f t="shared" si="4"/>
        <v>0</v>
      </c>
      <c r="W29" s="219">
        <f t="shared" si="5"/>
        <v>0</v>
      </c>
      <c r="X29" s="220">
        <f t="shared" si="6"/>
        <v>0</v>
      </c>
      <c r="Y29" s="217">
        <f t="shared" si="7"/>
        <v>0</v>
      </c>
      <c r="Z29" s="218">
        <f t="shared" si="8"/>
        <v>0</v>
      </c>
      <c r="AA29" s="219">
        <f t="shared" si="9"/>
        <v>0</v>
      </c>
      <c r="AB29" s="220">
        <f t="shared" si="10"/>
        <v>0</v>
      </c>
      <c r="AC29" s="216">
        <f t="shared" si="11"/>
        <v>0</v>
      </c>
      <c r="AD29" s="218">
        <f t="shared" si="12"/>
        <v>0</v>
      </c>
      <c r="AE29" s="219">
        <f t="shared" si="13"/>
        <v>0</v>
      </c>
      <c r="AF29" s="220">
        <f t="shared" si="14"/>
        <v>0</v>
      </c>
      <c r="AG29" s="216">
        <f t="shared" si="15"/>
        <v>0</v>
      </c>
      <c r="AH29" s="218">
        <f t="shared" si="16"/>
        <v>0</v>
      </c>
      <c r="AI29" s="219">
        <f t="shared" si="17"/>
        <v>0</v>
      </c>
      <c r="AJ29" s="220">
        <f t="shared" si="18"/>
        <v>0</v>
      </c>
      <c r="AK29" s="208">
        <f t="shared" si="19"/>
        <v>0</v>
      </c>
      <c r="AL29" s="209" t="str">
        <f t="shared" si="23"/>
        <v/>
      </c>
      <c r="AN29" s="221">
        <f t="shared" si="24"/>
        <v>0</v>
      </c>
      <c r="AO29" s="211">
        <f t="shared" si="25"/>
        <v>0</v>
      </c>
      <c r="AP29" s="212">
        <f t="shared" si="26"/>
        <v>0</v>
      </c>
      <c r="AQ29" s="176">
        <f t="shared" si="27"/>
        <v>0</v>
      </c>
      <c r="AR29" s="213">
        <f t="shared" si="28"/>
        <v>0</v>
      </c>
      <c r="AS29" s="176">
        <f t="shared" si="29"/>
        <v>0</v>
      </c>
      <c r="AT29" s="214">
        <f t="shared" si="30"/>
        <v>0</v>
      </c>
      <c r="AU29" s="213">
        <f t="shared" si="31"/>
        <v>0</v>
      </c>
    </row>
    <row r="30" spans="2:47" x14ac:dyDescent="0.35">
      <c r="B30" s="190"/>
      <c r="C30" s="190"/>
      <c r="D30" s="190"/>
      <c r="E30" s="191" t="str">
        <f t="shared" si="21"/>
        <v>--</v>
      </c>
      <c r="F30" s="192"/>
      <c r="G30" s="190"/>
      <c r="H30" s="193"/>
      <c r="I30" s="193"/>
      <c r="J30" s="194"/>
      <c r="K30" s="195">
        <f t="shared" si="22"/>
        <v>31</v>
      </c>
      <c r="L30" s="195">
        <f t="shared" si="22"/>
        <v>31</v>
      </c>
      <c r="M30" s="190"/>
      <c r="N30" s="196"/>
      <c r="O30" s="197"/>
      <c r="P30" s="198" t="str">
        <f t="shared" si="0"/>
        <v/>
      </c>
      <c r="R30" s="201"/>
      <c r="S30" s="215" t="str">
        <f t="shared" si="1"/>
        <v/>
      </c>
      <c r="T30" s="216">
        <f t="shared" si="2"/>
        <v>0</v>
      </c>
      <c r="U30" s="217">
        <f t="shared" si="3"/>
        <v>0</v>
      </c>
      <c r="V30" s="218">
        <f t="shared" si="4"/>
        <v>0</v>
      </c>
      <c r="W30" s="219">
        <f t="shared" si="5"/>
        <v>0</v>
      </c>
      <c r="X30" s="220">
        <f t="shared" si="6"/>
        <v>0</v>
      </c>
      <c r="Y30" s="217">
        <f t="shared" si="7"/>
        <v>0</v>
      </c>
      <c r="Z30" s="218">
        <f t="shared" si="8"/>
        <v>0</v>
      </c>
      <c r="AA30" s="219">
        <f t="shared" si="9"/>
        <v>0</v>
      </c>
      <c r="AB30" s="220">
        <f t="shared" si="10"/>
        <v>0</v>
      </c>
      <c r="AC30" s="216">
        <f t="shared" si="11"/>
        <v>0</v>
      </c>
      <c r="AD30" s="218">
        <f t="shared" si="12"/>
        <v>0</v>
      </c>
      <c r="AE30" s="219">
        <f t="shared" si="13"/>
        <v>0</v>
      </c>
      <c r="AF30" s="220">
        <f t="shared" si="14"/>
        <v>0</v>
      </c>
      <c r="AG30" s="216">
        <f t="shared" si="15"/>
        <v>0</v>
      </c>
      <c r="AH30" s="218">
        <f t="shared" si="16"/>
        <v>0</v>
      </c>
      <c r="AI30" s="219">
        <f t="shared" si="17"/>
        <v>0</v>
      </c>
      <c r="AJ30" s="220">
        <f t="shared" si="18"/>
        <v>0</v>
      </c>
      <c r="AK30" s="208">
        <f t="shared" si="19"/>
        <v>0</v>
      </c>
      <c r="AL30" s="209" t="str">
        <f t="shared" si="23"/>
        <v/>
      </c>
      <c r="AN30" s="221">
        <f t="shared" si="24"/>
        <v>0</v>
      </c>
      <c r="AO30" s="211">
        <f t="shared" si="25"/>
        <v>0</v>
      </c>
      <c r="AP30" s="212">
        <f t="shared" si="26"/>
        <v>0</v>
      </c>
      <c r="AQ30" s="176">
        <f t="shared" si="27"/>
        <v>0</v>
      </c>
      <c r="AR30" s="213">
        <f t="shared" si="28"/>
        <v>0</v>
      </c>
      <c r="AS30" s="176">
        <f t="shared" si="29"/>
        <v>0</v>
      </c>
      <c r="AT30" s="214">
        <f t="shared" si="30"/>
        <v>0</v>
      </c>
      <c r="AU30" s="213">
        <f t="shared" si="31"/>
        <v>0</v>
      </c>
    </row>
    <row r="31" spans="2:47" x14ac:dyDescent="0.35">
      <c r="B31" s="190"/>
      <c r="C31" s="190"/>
      <c r="D31" s="190"/>
      <c r="E31" s="191" t="str">
        <f t="shared" si="21"/>
        <v>--</v>
      </c>
      <c r="F31" s="192"/>
      <c r="G31" s="190"/>
      <c r="H31" s="193"/>
      <c r="I31" s="193"/>
      <c r="J31" s="194"/>
      <c r="K31" s="195">
        <f t="shared" si="22"/>
        <v>31</v>
      </c>
      <c r="L31" s="195">
        <f t="shared" si="22"/>
        <v>31</v>
      </c>
      <c r="M31" s="190"/>
      <c r="N31" s="196"/>
      <c r="O31" s="197"/>
      <c r="P31" s="198" t="str">
        <f t="shared" si="0"/>
        <v/>
      </c>
      <c r="R31" s="201"/>
      <c r="S31" s="215" t="str">
        <f t="shared" si="1"/>
        <v/>
      </c>
      <c r="T31" s="216">
        <f t="shared" si="2"/>
        <v>0</v>
      </c>
      <c r="U31" s="217">
        <f t="shared" si="3"/>
        <v>0</v>
      </c>
      <c r="V31" s="218">
        <f t="shared" si="4"/>
        <v>0</v>
      </c>
      <c r="W31" s="219">
        <f t="shared" si="5"/>
        <v>0</v>
      </c>
      <c r="X31" s="220">
        <f t="shared" si="6"/>
        <v>0</v>
      </c>
      <c r="Y31" s="217">
        <f t="shared" si="7"/>
        <v>0</v>
      </c>
      <c r="Z31" s="218">
        <f t="shared" si="8"/>
        <v>0</v>
      </c>
      <c r="AA31" s="219">
        <f t="shared" si="9"/>
        <v>0</v>
      </c>
      <c r="AB31" s="220">
        <f t="shared" si="10"/>
        <v>0</v>
      </c>
      <c r="AC31" s="216">
        <f t="shared" si="11"/>
        <v>0</v>
      </c>
      <c r="AD31" s="218">
        <f t="shared" si="12"/>
        <v>0</v>
      </c>
      <c r="AE31" s="219">
        <f t="shared" si="13"/>
        <v>0</v>
      </c>
      <c r="AF31" s="220">
        <f t="shared" si="14"/>
        <v>0</v>
      </c>
      <c r="AG31" s="216">
        <f t="shared" si="15"/>
        <v>0</v>
      </c>
      <c r="AH31" s="218">
        <f t="shared" si="16"/>
        <v>0</v>
      </c>
      <c r="AI31" s="219">
        <f t="shared" si="17"/>
        <v>0</v>
      </c>
      <c r="AJ31" s="220">
        <f t="shared" si="18"/>
        <v>0</v>
      </c>
      <c r="AK31" s="208">
        <f t="shared" si="19"/>
        <v>0</v>
      </c>
      <c r="AL31" s="209" t="str">
        <f t="shared" si="23"/>
        <v/>
      </c>
      <c r="AN31" s="221">
        <f t="shared" si="24"/>
        <v>0</v>
      </c>
      <c r="AO31" s="211">
        <f t="shared" si="25"/>
        <v>0</v>
      </c>
      <c r="AP31" s="212">
        <f t="shared" si="26"/>
        <v>0</v>
      </c>
      <c r="AQ31" s="176">
        <f t="shared" si="27"/>
        <v>0</v>
      </c>
      <c r="AR31" s="213">
        <f t="shared" si="28"/>
        <v>0</v>
      </c>
      <c r="AS31" s="176">
        <f t="shared" si="29"/>
        <v>0</v>
      </c>
      <c r="AT31" s="214">
        <f t="shared" si="30"/>
        <v>0</v>
      </c>
      <c r="AU31" s="213">
        <f t="shared" si="31"/>
        <v>0</v>
      </c>
    </row>
    <row r="32" spans="2:47" x14ac:dyDescent="0.35">
      <c r="B32" s="190"/>
      <c r="C32" s="190"/>
      <c r="D32" s="190"/>
      <c r="E32" s="191" t="str">
        <f t="shared" si="21"/>
        <v>--</v>
      </c>
      <c r="F32" s="192"/>
      <c r="G32" s="190"/>
      <c r="H32" s="193"/>
      <c r="I32" s="193"/>
      <c r="J32" s="194"/>
      <c r="K32" s="195">
        <f t="shared" si="22"/>
        <v>31</v>
      </c>
      <c r="L32" s="195">
        <f t="shared" si="22"/>
        <v>31</v>
      </c>
      <c r="M32" s="190"/>
      <c r="N32" s="196"/>
      <c r="O32" s="197"/>
      <c r="P32" s="198" t="str">
        <f t="shared" si="0"/>
        <v/>
      </c>
      <c r="R32" s="201"/>
      <c r="S32" s="215" t="str">
        <f t="shared" si="1"/>
        <v/>
      </c>
      <c r="T32" s="216">
        <f t="shared" si="2"/>
        <v>0</v>
      </c>
      <c r="U32" s="217">
        <f t="shared" si="3"/>
        <v>0</v>
      </c>
      <c r="V32" s="218">
        <f t="shared" si="4"/>
        <v>0</v>
      </c>
      <c r="W32" s="219">
        <f t="shared" si="5"/>
        <v>0</v>
      </c>
      <c r="X32" s="220">
        <f t="shared" si="6"/>
        <v>0</v>
      </c>
      <c r="Y32" s="217">
        <f t="shared" si="7"/>
        <v>0</v>
      </c>
      <c r="Z32" s="218">
        <f t="shared" si="8"/>
        <v>0</v>
      </c>
      <c r="AA32" s="219">
        <f t="shared" si="9"/>
        <v>0</v>
      </c>
      <c r="AB32" s="220">
        <f t="shared" si="10"/>
        <v>0</v>
      </c>
      <c r="AC32" s="216">
        <f t="shared" si="11"/>
        <v>0</v>
      </c>
      <c r="AD32" s="218">
        <f t="shared" si="12"/>
        <v>0</v>
      </c>
      <c r="AE32" s="219">
        <f t="shared" si="13"/>
        <v>0</v>
      </c>
      <c r="AF32" s="220">
        <f t="shared" si="14"/>
        <v>0</v>
      </c>
      <c r="AG32" s="216">
        <f t="shared" si="15"/>
        <v>0</v>
      </c>
      <c r="AH32" s="218">
        <f t="shared" si="16"/>
        <v>0</v>
      </c>
      <c r="AI32" s="219">
        <f t="shared" si="17"/>
        <v>0</v>
      </c>
      <c r="AJ32" s="220">
        <f t="shared" si="18"/>
        <v>0</v>
      </c>
      <c r="AK32" s="208">
        <f t="shared" si="19"/>
        <v>0</v>
      </c>
      <c r="AL32" s="209" t="str">
        <f t="shared" si="23"/>
        <v/>
      </c>
      <c r="AN32" s="221">
        <f t="shared" si="24"/>
        <v>0</v>
      </c>
      <c r="AO32" s="211">
        <f t="shared" si="25"/>
        <v>0</v>
      </c>
      <c r="AP32" s="212">
        <f t="shared" si="26"/>
        <v>0</v>
      </c>
      <c r="AQ32" s="176">
        <f t="shared" si="27"/>
        <v>0</v>
      </c>
      <c r="AR32" s="213">
        <f t="shared" si="28"/>
        <v>0</v>
      </c>
      <c r="AS32" s="176">
        <f t="shared" si="29"/>
        <v>0</v>
      </c>
      <c r="AT32" s="214">
        <f t="shared" si="30"/>
        <v>0</v>
      </c>
      <c r="AU32" s="213">
        <f t="shared" si="31"/>
        <v>0</v>
      </c>
    </row>
    <row r="33" spans="2:47" x14ac:dyDescent="0.35">
      <c r="B33" s="190"/>
      <c r="C33" s="190"/>
      <c r="D33" s="190"/>
      <c r="E33" s="191" t="str">
        <f t="shared" si="21"/>
        <v>--</v>
      </c>
      <c r="F33" s="192"/>
      <c r="G33" s="190"/>
      <c r="H33" s="193"/>
      <c r="I33" s="193"/>
      <c r="J33" s="194"/>
      <c r="K33" s="195">
        <f t="shared" si="22"/>
        <v>31</v>
      </c>
      <c r="L33" s="195">
        <f t="shared" si="22"/>
        <v>31</v>
      </c>
      <c r="M33" s="190"/>
      <c r="N33" s="196"/>
      <c r="O33" s="197"/>
      <c r="P33" s="198" t="str">
        <f t="shared" si="0"/>
        <v/>
      </c>
      <c r="R33" s="201"/>
      <c r="S33" s="215" t="str">
        <f t="shared" si="1"/>
        <v/>
      </c>
      <c r="T33" s="216">
        <f t="shared" si="2"/>
        <v>0</v>
      </c>
      <c r="U33" s="217">
        <f t="shared" si="3"/>
        <v>0</v>
      </c>
      <c r="V33" s="218">
        <f t="shared" si="4"/>
        <v>0</v>
      </c>
      <c r="W33" s="219">
        <f t="shared" si="5"/>
        <v>0</v>
      </c>
      <c r="X33" s="220">
        <f t="shared" si="6"/>
        <v>0</v>
      </c>
      <c r="Y33" s="217">
        <f t="shared" si="7"/>
        <v>0</v>
      </c>
      <c r="Z33" s="218">
        <f t="shared" si="8"/>
        <v>0</v>
      </c>
      <c r="AA33" s="219">
        <f t="shared" si="9"/>
        <v>0</v>
      </c>
      <c r="AB33" s="220">
        <f t="shared" si="10"/>
        <v>0</v>
      </c>
      <c r="AC33" s="216">
        <f t="shared" si="11"/>
        <v>0</v>
      </c>
      <c r="AD33" s="218">
        <f t="shared" si="12"/>
        <v>0</v>
      </c>
      <c r="AE33" s="219">
        <f t="shared" si="13"/>
        <v>0</v>
      </c>
      <c r="AF33" s="220">
        <f t="shared" si="14"/>
        <v>0</v>
      </c>
      <c r="AG33" s="216">
        <f t="shared" si="15"/>
        <v>0</v>
      </c>
      <c r="AH33" s="218">
        <f t="shared" si="16"/>
        <v>0</v>
      </c>
      <c r="AI33" s="219">
        <f t="shared" si="17"/>
        <v>0</v>
      </c>
      <c r="AJ33" s="220">
        <f t="shared" si="18"/>
        <v>0</v>
      </c>
      <c r="AK33" s="208">
        <f t="shared" si="19"/>
        <v>0</v>
      </c>
      <c r="AL33" s="209" t="str">
        <f t="shared" si="23"/>
        <v/>
      </c>
      <c r="AN33" s="221">
        <f t="shared" si="24"/>
        <v>0</v>
      </c>
      <c r="AO33" s="211">
        <f t="shared" si="25"/>
        <v>0</v>
      </c>
      <c r="AP33" s="212">
        <f t="shared" si="26"/>
        <v>0</v>
      </c>
      <c r="AQ33" s="176">
        <f t="shared" si="27"/>
        <v>0</v>
      </c>
      <c r="AR33" s="213">
        <f t="shared" si="28"/>
        <v>0</v>
      </c>
      <c r="AS33" s="176">
        <f t="shared" si="29"/>
        <v>0</v>
      </c>
      <c r="AT33" s="214">
        <f t="shared" si="30"/>
        <v>0</v>
      </c>
      <c r="AU33" s="213">
        <f t="shared" si="31"/>
        <v>0</v>
      </c>
    </row>
    <row r="34" spans="2:47" x14ac:dyDescent="0.35">
      <c r="B34" s="190"/>
      <c r="C34" s="190"/>
      <c r="D34" s="190"/>
      <c r="E34" s="191" t="str">
        <f t="shared" si="21"/>
        <v>--</v>
      </c>
      <c r="F34" s="192"/>
      <c r="G34" s="190"/>
      <c r="H34" s="193"/>
      <c r="I34" s="193"/>
      <c r="J34" s="194"/>
      <c r="K34" s="195">
        <f t="shared" si="22"/>
        <v>31</v>
      </c>
      <c r="L34" s="195">
        <f t="shared" si="22"/>
        <v>31</v>
      </c>
      <c r="M34" s="190"/>
      <c r="N34" s="196"/>
      <c r="O34" s="197"/>
      <c r="P34" s="198" t="str">
        <f t="shared" si="0"/>
        <v/>
      </c>
      <c r="R34" s="201"/>
      <c r="S34" s="215" t="str">
        <f t="shared" si="1"/>
        <v/>
      </c>
      <c r="T34" s="216">
        <f t="shared" si="2"/>
        <v>0</v>
      </c>
      <c r="U34" s="217">
        <f t="shared" si="3"/>
        <v>0</v>
      </c>
      <c r="V34" s="218">
        <f t="shared" si="4"/>
        <v>0</v>
      </c>
      <c r="W34" s="219">
        <f t="shared" si="5"/>
        <v>0</v>
      </c>
      <c r="X34" s="220">
        <f t="shared" si="6"/>
        <v>0</v>
      </c>
      <c r="Y34" s="217">
        <f t="shared" si="7"/>
        <v>0</v>
      </c>
      <c r="Z34" s="218">
        <f t="shared" si="8"/>
        <v>0</v>
      </c>
      <c r="AA34" s="219">
        <f t="shared" si="9"/>
        <v>0</v>
      </c>
      <c r="AB34" s="220">
        <f t="shared" si="10"/>
        <v>0</v>
      </c>
      <c r="AC34" s="216">
        <f t="shared" si="11"/>
        <v>0</v>
      </c>
      <c r="AD34" s="218">
        <f t="shared" si="12"/>
        <v>0</v>
      </c>
      <c r="AE34" s="219">
        <f t="shared" si="13"/>
        <v>0</v>
      </c>
      <c r="AF34" s="220">
        <f t="shared" si="14"/>
        <v>0</v>
      </c>
      <c r="AG34" s="216">
        <f t="shared" si="15"/>
        <v>0</v>
      </c>
      <c r="AH34" s="218">
        <f t="shared" si="16"/>
        <v>0</v>
      </c>
      <c r="AI34" s="219">
        <f t="shared" si="17"/>
        <v>0</v>
      </c>
      <c r="AJ34" s="220">
        <f t="shared" si="18"/>
        <v>0</v>
      </c>
      <c r="AK34" s="208">
        <f t="shared" si="19"/>
        <v>0</v>
      </c>
      <c r="AL34" s="209" t="str">
        <f t="shared" si="23"/>
        <v/>
      </c>
      <c r="AN34" s="221">
        <f t="shared" si="24"/>
        <v>0</v>
      </c>
      <c r="AO34" s="211">
        <f t="shared" si="25"/>
        <v>0</v>
      </c>
      <c r="AP34" s="212">
        <f t="shared" si="26"/>
        <v>0</v>
      </c>
      <c r="AQ34" s="176">
        <f t="shared" si="27"/>
        <v>0</v>
      </c>
      <c r="AR34" s="213">
        <f t="shared" si="28"/>
        <v>0</v>
      </c>
      <c r="AS34" s="176">
        <f t="shared" si="29"/>
        <v>0</v>
      </c>
      <c r="AT34" s="214">
        <f t="shared" si="30"/>
        <v>0</v>
      </c>
      <c r="AU34" s="213">
        <f t="shared" si="31"/>
        <v>0</v>
      </c>
    </row>
    <row r="35" spans="2:47" x14ac:dyDescent="0.35">
      <c r="B35" s="190"/>
      <c r="C35" s="190"/>
      <c r="D35" s="190"/>
      <c r="E35" s="191" t="str">
        <f t="shared" si="21"/>
        <v>--</v>
      </c>
      <c r="F35" s="192"/>
      <c r="G35" s="190"/>
      <c r="H35" s="193"/>
      <c r="I35" s="193"/>
      <c r="J35" s="194"/>
      <c r="K35" s="195">
        <f t="shared" si="22"/>
        <v>31</v>
      </c>
      <c r="L35" s="195">
        <f t="shared" si="22"/>
        <v>31</v>
      </c>
      <c r="M35" s="190"/>
      <c r="N35" s="196"/>
      <c r="O35" s="197"/>
      <c r="P35" s="198" t="str">
        <f t="shared" si="0"/>
        <v/>
      </c>
      <c r="R35" s="201"/>
      <c r="S35" s="215" t="str">
        <f t="shared" si="1"/>
        <v/>
      </c>
      <c r="T35" s="216">
        <f t="shared" si="2"/>
        <v>0</v>
      </c>
      <c r="U35" s="217">
        <f t="shared" si="3"/>
        <v>0</v>
      </c>
      <c r="V35" s="218">
        <f t="shared" si="4"/>
        <v>0</v>
      </c>
      <c r="W35" s="219">
        <f t="shared" si="5"/>
        <v>0</v>
      </c>
      <c r="X35" s="220">
        <f t="shared" si="6"/>
        <v>0</v>
      </c>
      <c r="Y35" s="217">
        <f t="shared" si="7"/>
        <v>0</v>
      </c>
      <c r="Z35" s="218">
        <f t="shared" si="8"/>
        <v>0</v>
      </c>
      <c r="AA35" s="219">
        <f t="shared" si="9"/>
        <v>0</v>
      </c>
      <c r="AB35" s="220">
        <f t="shared" si="10"/>
        <v>0</v>
      </c>
      <c r="AC35" s="216">
        <f t="shared" si="11"/>
        <v>0</v>
      </c>
      <c r="AD35" s="218">
        <f t="shared" si="12"/>
        <v>0</v>
      </c>
      <c r="AE35" s="219">
        <f t="shared" si="13"/>
        <v>0</v>
      </c>
      <c r="AF35" s="220">
        <f t="shared" si="14"/>
        <v>0</v>
      </c>
      <c r="AG35" s="216">
        <f t="shared" si="15"/>
        <v>0</v>
      </c>
      <c r="AH35" s="218">
        <f t="shared" si="16"/>
        <v>0</v>
      </c>
      <c r="AI35" s="219">
        <f t="shared" si="17"/>
        <v>0</v>
      </c>
      <c r="AJ35" s="220">
        <f t="shared" si="18"/>
        <v>0</v>
      </c>
      <c r="AK35" s="208">
        <f t="shared" si="19"/>
        <v>0</v>
      </c>
      <c r="AL35" s="209" t="str">
        <f t="shared" si="23"/>
        <v/>
      </c>
      <c r="AN35" s="221">
        <f t="shared" si="24"/>
        <v>0</v>
      </c>
      <c r="AO35" s="211">
        <f t="shared" si="25"/>
        <v>0</v>
      </c>
      <c r="AP35" s="212">
        <f t="shared" si="26"/>
        <v>0</v>
      </c>
      <c r="AQ35" s="176">
        <f t="shared" si="27"/>
        <v>0</v>
      </c>
      <c r="AR35" s="213">
        <f t="shared" si="28"/>
        <v>0</v>
      </c>
      <c r="AS35" s="176">
        <f t="shared" si="29"/>
        <v>0</v>
      </c>
      <c r="AT35" s="214">
        <f t="shared" si="30"/>
        <v>0</v>
      </c>
      <c r="AU35" s="213">
        <f t="shared" si="31"/>
        <v>0</v>
      </c>
    </row>
    <row r="36" spans="2:47" x14ac:dyDescent="0.35">
      <c r="B36" s="190"/>
      <c r="C36" s="190"/>
      <c r="D36" s="190"/>
      <c r="E36" s="191" t="str">
        <f t="shared" si="21"/>
        <v>--</v>
      </c>
      <c r="F36" s="192"/>
      <c r="G36" s="190"/>
      <c r="H36" s="193"/>
      <c r="I36" s="193"/>
      <c r="J36" s="194"/>
      <c r="K36" s="195">
        <f t="shared" si="22"/>
        <v>31</v>
      </c>
      <c r="L36" s="195">
        <f t="shared" si="22"/>
        <v>31</v>
      </c>
      <c r="M36" s="190"/>
      <c r="N36" s="196"/>
      <c r="O36" s="197"/>
      <c r="P36" s="198" t="str">
        <f t="shared" si="0"/>
        <v/>
      </c>
      <c r="R36" s="201"/>
      <c r="S36" s="215" t="str">
        <f t="shared" si="1"/>
        <v/>
      </c>
      <c r="T36" s="216">
        <f t="shared" si="2"/>
        <v>0</v>
      </c>
      <c r="U36" s="217">
        <f t="shared" si="3"/>
        <v>0</v>
      </c>
      <c r="V36" s="218">
        <f t="shared" si="4"/>
        <v>0</v>
      </c>
      <c r="W36" s="219">
        <f t="shared" si="5"/>
        <v>0</v>
      </c>
      <c r="X36" s="220">
        <f t="shared" si="6"/>
        <v>0</v>
      </c>
      <c r="Y36" s="217">
        <f t="shared" si="7"/>
        <v>0</v>
      </c>
      <c r="Z36" s="218">
        <f t="shared" si="8"/>
        <v>0</v>
      </c>
      <c r="AA36" s="219">
        <f t="shared" si="9"/>
        <v>0</v>
      </c>
      <c r="AB36" s="220">
        <f t="shared" si="10"/>
        <v>0</v>
      </c>
      <c r="AC36" s="216">
        <f t="shared" si="11"/>
        <v>0</v>
      </c>
      <c r="AD36" s="218">
        <f t="shared" si="12"/>
        <v>0</v>
      </c>
      <c r="AE36" s="219">
        <f t="shared" si="13"/>
        <v>0</v>
      </c>
      <c r="AF36" s="220">
        <f t="shared" si="14"/>
        <v>0</v>
      </c>
      <c r="AG36" s="216">
        <f t="shared" si="15"/>
        <v>0</v>
      </c>
      <c r="AH36" s="218">
        <f t="shared" si="16"/>
        <v>0</v>
      </c>
      <c r="AI36" s="219">
        <f t="shared" si="17"/>
        <v>0</v>
      </c>
      <c r="AJ36" s="220">
        <f t="shared" si="18"/>
        <v>0</v>
      </c>
      <c r="AK36" s="208">
        <f t="shared" si="19"/>
        <v>0</v>
      </c>
      <c r="AL36" s="209" t="str">
        <f t="shared" si="23"/>
        <v/>
      </c>
      <c r="AN36" s="221">
        <f t="shared" si="24"/>
        <v>0</v>
      </c>
      <c r="AO36" s="211">
        <f t="shared" si="25"/>
        <v>0</v>
      </c>
      <c r="AP36" s="212">
        <f t="shared" si="26"/>
        <v>0</v>
      </c>
      <c r="AQ36" s="176">
        <f t="shared" si="27"/>
        <v>0</v>
      </c>
      <c r="AR36" s="213">
        <f t="shared" si="28"/>
        <v>0</v>
      </c>
      <c r="AS36" s="176">
        <f t="shared" si="29"/>
        <v>0</v>
      </c>
      <c r="AT36" s="214">
        <f t="shared" si="30"/>
        <v>0</v>
      </c>
      <c r="AU36" s="213">
        <f t="shared" si="31"/>
        <v>0</v>
      </c>
    </row>
    <row r="37" spans="2:47" x14ac:dyDescent="0.35">
      <c r="B37" s="190"/>
      <c r="C37" s="190"/>
      <c r="D37" s="190"/>
      <c r="E37" s="191" t="str">
        <f t="shared" si="21"/>
        <v>--</v>
      </c>
      <c r="F37" s="192"/>
      <c r="G37" s="190"/>
      <c r="H37" s="193"/>
      <c r="I37" s="193"/>
      <c r="J37" s="194"/>
      <c r="K37" s="195">
        <f t="shared" si="22"/>
        <v>31</v>
      </c>
      <c r="L37" s="195">
        <f t="shared" si="22"/>
        <v>31</v>
      </c>
      <c r="M37" s="190"/>
      <c r="N37" s="196"/>
      <c r="O37" s="197"/>
      <c r="P37" s="198" t="str">
        <f t="shared" si="0"/>
        <v/>
      </c>
      <c r="R37" s="201"/>
      <c r="S37" s="215" t="str">
        <f t="shared" si="1"/>
        <v/>
      </c>
      <c r="T37" s="216">
        <f t="shared" si="2"/>
        <v>0</v>
      </c>
      <c r="U37" s="217">
        <f t="shared" si="3"/>
        <v>0</v>
      </c>
      <c r="V37" s="218">
        <f t="shared" si="4"/>
        <v>0</v>
      </c>
      <c r="W37" s="219">
        <f t="shared" si="5"/>
        <v>0</v>
      </c>
      <c r="X37" s="220">
        <f t="shared" si="6"/>
        <v>0</v>
      </c>
      <c r="Y37" s="217">
        <f t="shared" si="7"/>
        <v>0</v>
      </c>
      <c r="Z37" s="218">
        <f t="shared" si="8"/>
        <v>0</v>
      </c>
      <c r="AA37" s="219">
        <f t="shared" si="9"/>
        <v>0</v>
      </c>
      <c r="AB37" s="220">
        <f t="shared" si="10"/>
        <v>0</v>
      </c>
      <c r="AC37" s="216">
        <f t="shared" si="11"/>
        <v>0</v>
      </c>
      <c r="AD37" s="218">
        <f t="shared" si="12"/>
        <v>0</v>
      </c>
      <c r="AE37" s="219">
        <f t="shared" si="13"/>
        <v>0</v>
      </c>
      <c r="AF37" s="220">
        <f t="shared" si="14"/>
        <v>0</v>
      </c>
      <c r="AG37" s="216">
        <f t="shared" si="15"/>
        <v>0</v>
      </c>
      <c r="AH37" s="218">
        <f t="shared" si="16"/>
        <v>0</v>
      </c>
      <c r="AI37" s="219">
        <f t="shared" si="17"/>
        <v>0</v>
      </c>
      <c r="AJ37" s="220">
        <f t="shared" si="18"/>
        <v>0</v>
      </c>
      <c r="AK37" s="208">
        <f t="shared" si="19"/>
        <v>0</v>
      </c>
      <c r="AL37" s="209" t="str">
        <f t="shared" si="23"/>
        <v/>
      </c>
      <c r="AN37" s="221">
        <f t="shared" si="24"/>
        <v>0</v>
      </c>
      <c r="AO37" s="211">
        <f t="shared" si="25"/>
        <v>0</v>
      </c>
      <c r="AP37" s="212">
        <f t="shared" si="26"/>
        <v>0</v>
      </c>
      <c r="AQ37" s="176">
        <f t="shared" si="27"/>
        <v>0</v>
      </c>
      <c r="AR37" s="213">
        <f t="shared" si="28"/>
        <v>0</v>
      </c>
      <c r="AS37" s="176">
        <f t="shared" si="29"/>
        <v>0</v>
      </c>
      <c r="AT37" s="214">
        <f t="shared" si="30"/>
        <v>0</v>
      </c>
      <c r="AU37" s="213">
        <f t="shared" si="31"/>
        <v>0</v>
      </c>
    </row>
    <row r="38" spans="2:47" x14ac:dyDescent="0.35">
      <c r="B38" s="190"/>
      <c r="C38" s="190"/>
      <c r="D38" s="190"/>
      <c r="E38" s="191" t="str">
        <f t="shared" si="21"/>
        <v>--</v>
      </c>
      <c r="F38" s="192"/>
      <c r="G38" s="190"/>
      <c r="H38" s="193"/>
      <c r="I38" s="193"/>
      <c r="J38" s="194"/>
      <c r="K38" s="195">
        <f t="shared" si="22"/>
        <v>31</v>
      </c>
      <c r="L38" s="195">
        <f t="shared" si="22"/>
        <v>31</v>
      </c>
      <c r="M38" s="190"/>
      <c r="N38" s="196"/>
      <c r="O38" s="197"/>
      <c r="P38" s="198" t="str">
        <f t="shared" si="0"/>
        <v/>
      </c>
      <c r="R38" s="201"/>
      <c r="S38" s="215" t="str">
        <f t="shared" si="1"/>
        <v/>
      </c>
      <c r="T38" s="216">
        <f t="shared" si="2"/>
        <v>0</v>
      </c>
      <c r="U38" s="217">
        <f t="shared" si="3"/>
        <v>0</v>
      </c>
      <c r="V38" s="218">
        <f t="shared" si="4"/>
        <v>0</v>
      </c>
      <c r="W38" s="219">
        <f t="shared" si="5"/>
        <v>0</v>
      </c>
      <c r="X38" s="220">
        <f t="shared" si="6"/>
        <v>0</v>
      </c>
      <c r="Y38" s="217">
        <f t="shared" si="7"/>
        <v>0</v>
      </c>
      <c r="Z38" s="218">
        <f t="shared" si="8"/>
        <v>0</v>
      </c>
      <c r="AA38" s="219">
        <f t="shared" si="9"/>
        <v>0</v>
      </c>
      <c r="AB38" s="220">
        <f t="shared" si="10"/>
        <v>0</v>
      </c>
      <c r="AC38" s="216">
        <f t="shared" si="11"/>
        <v>0</v>
      </c>
      <c r="AD38" s="218">
        <f t="shared" si="12"/>
        <v>0</v>
      </c>
      <c r="AE38" s="219">
        <f t="shared" si="13"/>
        <v>0</v>
      </c>
      <c r="AF38" s="220">
        <f t="shared" si="14"/>
        <v>0</v>
      </c>
      <c r="AG38" s="216">
        <f t="shared" si="15"/>
        <v>0</v>
      </c>
      <c r="AH38" s="218">
        <f t="shared" si="16"/>
        <v>0</v>
      </c>
      <c r="AI38" s="219">
        <f t="shared" si="17"/>
        <v>0</v>
      </c>
      <c r="AJ38" s="220">
        <f t="shared" si="18"/>
        <v>0</v>
      </c>
      <c r="AK38" s="208">
        <f t="shared" si="19"/>
        <v>0</v>
      </c>
      <c r="AL38" s="209" t="str">
        <f t="shared" si="23"/>
        <v/>
      </c>
      <c r="AN38" s="221">
        <f t="shared" si="24"/>
        <v>0</v>
      </c>
      <c r="AO38" s="211">
        <f t="shared" si="25"/>
        <v>0</v>
      </c>
      <c r="AP38" s="212">
        <f t="shared" si="26"/>
        <v>0</v>
      </c>
      <c r="AQ38" s="176">
        <f t="shared" si="27"/>
        <v>0</v>
      </c>
      <c r="AR38" s="213">
        <f t="shared" si="28"/>
        <v>0</v>
      </c>
      <c r="AS38" s="176">
        <f t="shared" si="29"/>
        <v>0</v>
      </c>
      <c r="AT38" s="214">
        <f t="shared" si="30"/>
        <v>0</v>
      </c>
      <c r="AU38" s="213">
        <f t="shared" si="31"/>
        <v>0</v>
      </c>
    </row>
    <row r="39" spans="2:47" x14ac:dyDescent="0.35">
      <c r="B39" s="190"/>
      <c r="C39" s="190"/>
      <c r="D39" s="190"/>
      <c r="E39" s="191" t="str">
        <f t="shared" si="21"/>
        <v>--</v>
      </c>
      <c r="F39" s="192"/>
      <c r="G39" s="190"/>
      <c r="H39" s="193"/>
      <c r="I39" s="193"/>
      <c r="J39" s="194"/>
      <c r="K39" s="195">
        <f t="shared" si="22"/>
        <v>31</v>
      </c>
      <c r="L39" s="195">
        <f t="shared" si="22"/>
        <v>31</v>
      </c>
      <c r="M39" s="190"/>
      <c r="N39" s="196"/>
      <c r="O39" s="197"/>
      <c r="P39" s="198" t="str">
        <f t="shared" si="0"/>
        <v/>
      </c>
      <c r="R39" s="201"/>
      <c r="S39" s="215" t="str">
        <f t="shared" si="1"/>
        <v/>
      </c>
      <c r="T39" s="216">
        <f t="shared" si="2"/>
        <v>0</v>
      </c>
      <c r="U39" s="217">
        <f t="shared" si="3"/>
        <v>0</v>
      </c>
      <c r="V39" s="218">
        <f t="shared" si="4"/>
        <v>0</v>
      </c>
      <c r="W39" s="219">
        <f t="shared" si="5"/>
        <v>0</v>
      </c>
      <c r="X39" s="220">
        <f t="shared" si="6"/>
        <v>0</v>
      </c>
      <c r="Y39" s="217">
        <f t="shared" si="7"/>
        <v>0</v>
      </c>
      <c r="Z39" s="218">
        <f t="shared" si="8"/>
        <v>0</v>
      </c>
      <c r="AA39" s="219">
        <f t="shared" si="9"/>
        <v>0</v>
      </c>
      <c r="AB39" s="220">
        <f t="shared" si="10"/>
        <v>0</v>
      </c>
      <c r="AC39" s="216">
        <f t="shared" si="11"/>
        <v>0</v>
      </c>
      <c r="AD39" s="218">
        <f t="shared" si="12"/>
        <v>0</v>
      </c>
      <c r="AE39" s="219">
        <f t="shared" si="13"/>
        <v>0</v>
      </c>
      <c r="AF39" s="220">
        <f t="shared" si="14"/>
        <v>0</v>
      </c>
      <c r="AG39" s="216">
        <f t="shared" si="15"/>
        <v>0</v>
      </c>
      <c r="AH39" s="218">
        <f t="shared" si="16"/>
        <v>0</v>
      </c>
      <c r="AI39" s="219">
        <f t="shared" si="17"/>
        <v>0</v>
      </c>
      <c r="AJ39" s="220">
        <f t="shared" si="18"/>
        <v>0</v>
      </c>
      <c r="AK39" s="208">
        <f t="shared" si="19"/>
        <v>0</v>
      </c>
      <c r="AL39" s="209" t="str">
        <f t="shared" si="23"/>
        <v/>
      </c>
      <c r="AN39" s="221">
        <f t="shared" si="24"/>
        <v>0</v>
      </c>
      <c r="AO39" s="211">
        <f t="shared" si="25"/>
        <v>0</v>
      </c>
      <c r="AP39" s="212">
        <f t="shared" si="26"/>
        <v>0</v>
      </c>
      <c r="AQ39" s="176">
        <f t="shared" si="27"/>
        <v>0</v>
      </c>
      <c r="AR39" s="213">
        <f t="shared" si="28"/>
        <v>0</v>
      </c>
      <c r="AS39" s="176">
        <f t="shared" si="29"/>
        <v>0</v>
      </c>
      <c r="AT39" s="214">
        <f t="shared" si="30"/>
        <v>0</v>
      </c>
      <c r="AU39" s="213">
        <f t="shared" si="31"/>
        <v>0</v>
      </c>
    </row>
    <row r="40" spans="2:47" x14ac:dyDescent="0.35">
      <c r="B40" s="190"/>
      <c r="C40" s="190"/>
      <c r="D40" s="190"/>
      <c r="E40" s="191" t="str">
        <f t="shared" si="21"/>
        <v>--</v>
      </c>
      <c r="F40" s="192"/>
      <c r="G40" s="190"/>
      <c r="H40" s="193"/>
      <c r="I40" s="193"/>
      <c r="J40" s="194"/>
      <c r="K40" s="195">
        <f t="shared" si="22"/>
        <v>31</v>
      </c>
      <c r="L40" s="195">
        <f t="shared" si="22"/>
        <v>31</v>
      </c>
      <c r="M40" s="190"/>
      <c r="N40" s="196"/>
      <c r="O40" s="197"/>
      <c r="P40" s="198" t="str">
        <f t="shared" si="0"/>
        <v/>
      </c>
      <c r="R40" s="201"/>
      <c r="S40" s="215" t="str">
        <f t="shared" si="1"/>
        <v/>
      </c>
      <c r="T40" s="216">
        <f t="shared" si="2"/>
        <v>0</v>
      </c>
      <c r="U40" s="217">
        <f t="shared" si="3"/>
        <v>0</v>
      </c>
      <c r="V40" s="218">
        <f t="shared" si="4"/>
        <v>0</v>
      </c>
      <c r="W40" s="219">
        <f t="shared" si="5"/>
        <v>0</v>
      </c>
      <c r="X40" s="220">
        <f t="shared" si="6"/>
        <v>0</v>
      </c>
      <c r="Y40" s="217">
        <f t="shared" si="7"/>
        <v>0</v>
      </c>
      <c r="Z40" s="218">
        <f t="shared" si="8"/>
        <v>0</v>
      </c>
      <c r="AA40" s="219">
        <f t="shared" si="9"/>
        <v>0</v>
      </c>
      <c r="AB40" s="220">
        <f t="shared" si="10"/>
        <v>0</v>
      </c>
      <c r="AC40" s="216">
        <f t="shared" si="11"/>
        <v>0</v>
      </c>
      <c r="AD40" s="218">
        <f t="shared" si="12"/>
        <v>0</v>
      </c>
      <c r="AE40" s="219">
        <f t="shared" si="13"/>
        <v>0</v>
      </c>
      <c r="AF40" s="220">
        <f t="shared" si="14"/>
        <v>0</v>
      </c>
      <c r="AG40" s="216">
        <f t="shared" si="15"/>
        <v>0</v>
      </c>
      <c r="AH40" s="218">
        <f t="shared" si="16"/>
        <v>0</v>
      </c>
      <c r="AI40" s="219">
        <f t="shared" si="17"/>
        <v>0</v>
      </c>
      <c r="AJ40" s="220">
        <f t="shared" si="18"/>
        <v>0</v>
      </c>
      <c r="AK40" s="208">
        <f t="shared" si="19"/>
        <v>0</v>
      </c>
      <c r="AL40" s="209" t="str">
        <f t="shared" si="23"/>
        <v/>
      </c>
      <c r="AN40" s="221">
        <f t="shared" si="24"/>
        <v>0</v>
      </c>
      <c r="AO40" s="211">
        <f t="shared" si="25"/>
        <v>0</v>
      </c>
      <c r="AP40" s="212">
        <f t="shared" si="26"/>
        <v>0</v>
      </c>
      <c r="AQ40" s="176">
        <f t="shared" si="27"/>
        <v>0</v>
      </c>
      <c r="AR40" s="213">
        <f t="shared" si="28"/>
        <v>0</v>
      </c>
      <c r="AS40" s="176">
        <f t="shared" si="29"/>
        <v>0</v>
      </c>
      <c r="AT40" s="214">
        <f t="shared" si="30"/>
        <v>0</v>
      </c>
      <c r="AU40" s="213">
        <f t="shared" si="31"/>
        <v>0</v>
      </c>
    </row>
    <row r="41" spans="2:47" ht="15" thickBot="1" x14ac:dyDescent="0.4">
      <c r="B41" s="190"/>
      <c r="C41" s="190"/>
      <c r="D41" s="190"/>
      <c r="E41" s="191" t="str">
        <f t="shared" si="21"/>
        <v>--</v>
      </c>
      <c r="F41" s="192"/>
      <c r="G41" s="190"/>
      <c r="H41" s="193"/>
      <c r="I41" s="193"/>
      <c r="J41" s="194"/>
      <c r="K41" s="195">
        <f t="shared" si="22"/>
        <v>31</v>
      </c>
      <c r="L41" s="195">
        <f t="shared" si="22"/>
        <v>31</v>
      </c>
      <c r="M41" s="190"/>
      <c r="N41" s="196"/>
      <c r="O41" s="197"/>
      <c r="P41" s="198" t="str">
        <f t="shared" si="0"/>
        <v/>
      </c>
      <c r="R41" s="201"/>
      <c r="S41" s="230" t="str">
        <f t="shared" si="1"/>
        <v/>
      </c>
      <c r="T41" s="231">
        <f t="shared" si="2"/>
        <v>0</v>
      </c>
      <c r="U41" s="232">
        <f t="shared" si="3"/>
        <v>0</v>
      </c>
      <c r="V41" s="233">
        <f t="shared" si="4"/>
        <v>0</v>
      </c>
      <c r="W41" s="234">
        <f t="shared" si="5"/>
        <v>0</v>
      </c>
      <c r="X41" s="235">
        <f t="shared" si="6"/>
        <v>0</v>
      </c>
      <c r="Y41" s="232">
        <f t="shared" si="7"/>
        <v>0</v>
      </c>
      <c r="Z41" s="233">
        <f t="shared" si="8"/>
        <v>0</v>
      </c>
      <c r="AA41" s="234">
        <f t="shared" si="9"/>
        <v>0</v>
      </c>
      <c r="AB41" s="235">
        <f t="shared" si="10"/>
        <v>0</v>
      </c>
      <c r="AC41" s="231">
        <f t="shared" si="11"/>
        <v>0</v>
      </c>
      <c r="AD41" s="233">
        <f t="shared" si="12"/>
        <v>0</v>
      </c>
      <c r="AE41" s="234">
        <f t="shared" si="13"/>
        <v>0</v>
      </c>
      <c r="AF41" s="235">
        <f t="shared" si="14"/>
        <v>0</v>
      </c>
      <c r="AG41" s="231">
        <f t="shared" si="15"/>
        <v>0</v>
      </c>
      <c r="AH41" s="233">
        <f t="shared" si="16"/>
        <v>0</v>
      </c>
      <c r="AI41" s="234">
        <f t="shared" si="17"/>
        <v>0</v>
      </c>
      <c r="AJ41" s="235">
        <f t="shared" si="18"/>
        <v>0</v>
      </c>
      <c r="AK41" s="236">
        <f t="shared" si="19"/>
        <v>0</v>
      </c>
      <c r="AL41" s="237" t="str">
        <f t="shared" si="23"/>
        <v/>
      </c>
      <c r="AN41" s="221">
        <f t="shared" si="24"/>
        <v>0</v>
      </c>
      <c r="AO41" s="211">
        <f t="shared" si="25"/>
        <v>0</v>
      </c>
      <c r="AP41" s="212">
        <f t="shared" si="26"/>
        <v>0</v>
      </c>
      <c r="AQ41" s="176">
        <f t="shared" si="27"/>
        <v>0</v>
      </c>
      <c r="AR41" s="213">
        <f t="shared" si="28"/>
        <v>0</v>
      </c>
      <c r="AS41" s="176">
        <f t="shared" si="29"/>
        <v>0</v>
      </c>
      <c r="AT41" s="214">
        <f t="shared" si="30"/>
        <v>0</v>
      </c>
      <c r="AU41" s="213">
        <f t="shared" si="31"/>
        <v>0</v>
      </c>
    </row>
    <row r="42" spans="2:47" ht="28" customHeight="1" thickBot="1" x14ac:dyDescent="0.4">
      <c r="B42" s="190"/>
      <c r="C42" s="190"/>
      <c r="D42" s="190"/>
      <c r="E42" s="191" t="str">
        <f t="shared" si="21"/>
        <v>--</v>
      </c>
      <c r="F42" s="192"/>
      <c r="G42" s="190"/>
      <c r="H42" s="193"/>
      <c r="I42" s="193"/>
      <c r="J42" s="194"/>
      <c r="K42" s="195">
        <f t="shared" si="22"/>
        <v>31</v>
      </c>
      <c r="L42" s="195">
        <f t="shared" si="22"/>
        <v>31</v>
      </c>
      <c r="M42" s="190"/>
      <c r="N42" s="196"/>
      <c r="O42" s="197"/>
      <c r="P42" s="198" t="str">
        <f t="shared" si="0"/>
        <v/>
      </c>
      <c r="R42" s="238" t="s">
        <v>222</v>
      </c>
      <c r="S42" s="239"/>
      <c r="T42" s="240">
        <f>SUM(T8:T41)</f>
        <v>282</v>
      </c>
      <c r="U42" s="241">
        <f>SUM(U8:U41)</f>
        <v>282</v>
      </c>
      <c r="V42" s="241">
        <f>SUMPRODUCT(T8:T41,V8:V41)/T42</f>
        <v>0</v>
      </c>
      <c r="W42" s="242">
        <f>SUMPRODUCT($T$8:$T$41,W8:W41)/$T$42</f>
        <v>0</v>
      </c>
      <c r="X42" s="243">
        <f>SUMPRODUCT(T8:T41,X8:X41)/T42</f>
        <v>0</v>
      </c>
      <c r="Y42" s="241">
        <f>SUM(Y8:Y41)</f>
        <v>0</v>
      </c>
      <c r="Z42" s="242">
        <f>SUMPRODUCT($T$8:$T$41,Z8:Z41)/$T$42</f>
        <v>0</v>
      </c>
      <c r="AA42" s="242">
        <f>SUMPRODUCT($T$8:$T$41,AA8:AA41)/$T$42</f>
        <v>0</v>
      </c>
      <c r="AB42" s="243">
        <f>SUMPRODUCT($T$8:$T$41,AB8:AB41)/$T$42</f>
        <v>0</v>
      </c>
      <c r="AC42" s="241">
        <f>SUM(AC8:AC41)</f>
        <v>0</v>
      </c>
      <c r="AD42" s="242">
        <f>SUMPRODUCT($T$8:$T$41,AD8:AD41)/$T$42</f>
        <v>0</v>
      </c>
      <c r="AE42" s="242">
        <f>SUMPRODUCT($T$8:$T$41,AE8:AE41)/$T$42</f>
        <v>0</v>
      </c>
      <c r="AF42" s="243">
        <f>SUMPRODUCT($T$8:$T$41,AF8:AF41)/$T$42</f>
        <v>0</v>
      </c>
      <c r="AG42" s="241">
        <f>SUM(AG8:AG41)</f>
        <v>0</v>
      </c>
      <c r="AH42" s="242">
        <f>SUMPRODUCT($T$8:$T$41,AH8:AH41)/$T$42</f>
        <v>0</v>
      </c>
      <c r="AI42" s="242">
        <f>SUMPRODUCT($T$8:$T$41,AI8:AI41)/$T$42</f>
        <v>0</v>
      </c>
      <c r="AJ42" s="243">
        <f>SUMPRODUCT($T$8:$T$41,AJ8:AJ41)/$T$42</f>
        <v>0</v>
      </c>
      <c r="AK42" s="244" t="str">
        <f>IFERROR(COUNTIF(AK8:AK41,"&gt;0")/(COUNTA(R8:R41)-COUNTIF(AL8:AL41,"No Recent Leasing")),"")</f>
        <v/>
      </c>
      <c r="AL42" s="245" t="s">
        <v>223</v>
      </c>
      <c r="AN42" s="246"/>
      <c r="AO42" s="247">
        <f>SUM(AO8:AO41)</f>
        <v>282</v>
      </c>
      <c r="AP42" s="248">
        <f>SUMPRODUCT(AO8:AO41,AP8:AP41)/AO42</f>
        <v>0</v>
      </c>
      <c r="AQ42" s="249">
        <f>SUM(AQ8:AQ41)</f>
        <v>0</v>
      </c>
      <c r="AR42" s="250">
        <f>IFERROR(SUMPRODUCT(AQ8:AQ41,AR8:AR41)/AQ42,0)</f>
        <v>0</v>
      </c>
      <c r="AS42" s="249">
        <f>SUM(AS8:AS41)</f>
        <v>0</v>
      </c>
      <c r="AT42" s="251">
        <f>IFERROR(SUMPRODUCT(AS8:AS41,AT8:AT41)/AS42,0)</f>
        <v>0</v>
      </c>
      <c r="AU42" s="250">
        <f t="shared" si="31"/>
        <v>0</v>
      </c>
    </row>
    <row r="43" spans="2:47" x14ac:dyDescent="0.35">
      <c r="B43" s="190"/>
      <c r="C43" s="190"/>
      <c r="D43" s="190"/>
      <c r="E43" s="191" t="str">
        <f t="shared" si="21"/>
        <v>--</v>
      </c>
      <c r="F43" s="192"/>
      <c r="G43" s="190"/>
      <c r="H43" s="193"/>
      <c r="I43" s="193"/>
      <c r="J43" s="194"/>
      <c r="K43" s="195">
        <f t="shared" si="22"/>
        <v>31</v>
      </c>
      <c r="L43" s="195">
        <f t="shared" si="22"/>
        <v>31</v>
      </c>
      <c r="M43" s="190"/>
      <c r="N43" s="196"/>
      <c r="O43" s="197"/>
      <c r="P43" s="198" t="str">
        <f t="shared" si="0"/>
        <v/>
      </c>
      <c r="T43" s="176"/>
      <c r="U43" s="176"/>
      <c r="V43" s="176"/>
      <c r="W43" s="252"/>
      <c r="X43" s="253"/>
      <c r="Y43" s="254">
        <f>Y42/$T$42</f>
        <v>0</v>
      </c>
      <c r="Z43" s="255"/>
      <c r="AA43" s="255"/>
      <c r="AB43" s="256"/>
      <c r="AC43" s="254">
        <f>AC42/$T$42</f>
        <v>0</v>
      </c>
      <c r="AD43" s="256"/>
      <c r="AE43" s="256"/>
      <c r="AF43" s="256"/>
      <c r="AG43" s="254">
        <f>AG42/$T$42</f>
        <v>0</v>
      </c>
      <c r="AH43" s="256"/>
      <c r="AI43" s="256"/>
      <c r="AJ43" s="256"/>
    </row>
    <row r="44" spans="2:47" x14ac:dyDescent="0.35">
      <c r="B44" s="190"/>
      <c r="C44" s="190"/>
      <c r="D44" s="190"/>
      <c r="E44" s="191" t="str">
        <f t="shared" si="21"/>
        <v>--</v>
      </c>
      <c r="F44" s="192"/>
      <c r="G44" s="190"/>
      <c r="H44" s="193"/>
      <c r="I44" s="193"/>
      <c r="J44" s="194"/>
      <c r="K44" s="195">
        <f t="shared" si="22"/>
        <v>31</v>
      </c>
      <c r="L44" s="195">
        <f t="shared" si="22"/>
        <v>31</v>
      </c>
      <c r="M44" s="190"/>
      <c r="N44" s="196"/>
      <c r="O44" s="197"/>
      <c r="P44" s="198" t="str">
        <f t="shared" si="0"/>
        <v/>
      </c>
      <c r="U44" s="176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  <c r="AH44" s="176"/>
      <c r="AI44" s="176"/>
    </row>
    <row r="45" spans="2:47" x14ac:dyDescent="0.35">
      <c r="B45" s="190"/>
      <c r="C45" s="190"/>
      <c r="D45" s="190"/>
      <c r="E45" s="191" t="str">
        <f t="shared" si="21"/>
        <v>--</v>
      </c>
      <c r="F45" s="192"/>
      <c r="G45" s="190"/>
      <c r="H45" s="193"/>
      <c r="I45" s="193"/>
      <c r="J45" s="194"/>
      <c r="K45" s="195">
        <f t="shared" si="22"/>
        <v>31</v>
      </c>
      <c r="L45" s="195">
        <f t="shared" si="22"/>
        <v>31</v>
      </c>
      <c r="M45" s="190"/>
      <c r="N45" s="196"/>
      <c r="O45" s="197"/>
      <c r="P45" s="198" t="str">
        <f t="shared" si="0"/>
        <v/>
      </c>
      <c r="R45" s="307" t="s">
        <v>224</v>
      </c>
      <c r="S45" s="257"/>
      <c r="T45" s="258">
        <f>U42/T42</f>
        <v>1</v>
      </c>
      <c r="U45" s="176"/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  <c r="AH45" s="176"/>
      <c r="AI45" s="176"/>
    </row>
    <row r="46" spans="2:47" ht="25" customHeight="1" x14ac:dyDescent="0.35">
      <c r="B46" s="190"/>
      <c r="C46" s="190"/>
      <c r="D46" s="190"/>
      <c r="E46" s="191" t="str">
        <f t="shared" si="21"/>
        <v>--</v>
      </c>
      <c r="F46" s="192"/>
      <c r="G46" s="190"/>
      <c r="H46" s="193"/>
      <c r="I46" s="193"/>
      <c r="J46" s="194"/>
      <c r="K46" s="195">
        <f t="shared" si="22"/>
        <v>31</v>
      </c>
      <c r="L46" s="195">
        <f t="shared" si="22"/>
        <v>31</v>
      </c>
      <c r="M46" s="190"/>
      <c r="N46" s="196"/>
      <c r="O46" s="197"/>
      <c r="P46" s="198" t="str">
        <f t="shared" si="0"/>
        <v/>
      </c>
      <c r="R46" s="308" t="s">
        <v>225</v>
      </c>
      <c r="S46" s="259"/>
      <c r="T46" s="260">
        <f>1-T45</f>
        <v>0</v>
      </c>
      <c r="U46" s="176"/>
      <c r="V46" s="176"/>
      <c r="W46" s="318" t="s">
        <v>226</v>
      </c>
      <c r="X46" s="261">
        <f>IFERROR(1-X$42/W$42,0)</f>
        <v>0</v>
      </c>
      <c r="Y46" s="176"/>
      <c r="Z46" s="318" t="s">
        <v>227</v>
      </c>
      <c r="AA46" s="261">
        <f>IFERROR(1-AB$42/AA$42,0)</f>
        <v>0</v>
      </c>
      <c r="AB46" s="176"/>
      <c r="AC46" s="176"/>
      <c r="AD46" s="318" t="s">
        <v>228</v>
      </c>
      <c r="AE46" s="261">
        <f>IFERROR(1-AF$42/AE$42,0)</f>
        <v>0</v>
      </c>
      <c r="AF46" s="176"/>
      <c r="AG46" s="176"/>
      <c r="AH46" s="318" t="s">
        <v>229</v>
      </c>
      <c r="AI46" s="261">
        <f>IFERROR(1-AJ$42/AI$42,0)</f>
        <v>0</v>
      </c>
      <c r="AT46" s="318" t="s">
        <v>221</v>
      </c>
      <c r="AU46" s="261">
        <f>IFERROR(AR$42/AT$42-1,0)</f>
        <v>0</v>
      </c>
    </row>
    <row r="47" spans="2:47" x14ac:dyDescent="0.35">
      <c r="B47" s="190"/>
      <c r="C47" s="190"/>
      <c r="D47" s="190"/>
      <c r="E47" s="191" t="str">
        <f t="shared" si="21"/>
        <v>--</v>
      </c>
      <c r="F47" s="192"/>
      <c r="G47" s="190"/>
      <c r="H47" s="193"/>
      <c r="I47" s="193"/>
      <c r="J47" s="194"/>
      <c r="K47" s="195">
        <f t="shared" si="22"/>
        <v>31</v>
      </c>
      <c r="L47" s="195">
        <f t="shared" si="22"/>
        <v>31</v>
      </c>
      <c r="M47" s="190"/>
      <c r="N47" s="196"/>
      <c r="O47" s="197"/>
      <c r="P47" s="198" t="str">
        <f t="shared" si="0"/>
        <v/>
      </c>
      <c r="U47" s="262"/>
      <c r="W47" s="63"/>
      <c r="Z47" s="263"/>
      <c r="AA47" s="63"/>
      <c r="AD47" s="63"/>
      <c r="AE47" s="63"/>
      <c r="AH47" s="263"/>
      <c r="AI47" s="63"/>
    </row>
    <row r="48" spans="2:47" s="222" customFormat="1" x14ac:dyDescent="0.35">
      <c r="B48" s="190"/>
      <c r="C48" s="190"/>
      <c r="D48" s="190"/>
      <c r="E48" s="191" t="str">
        <f t="shared" si="21"/>
        <v>--</v>
      </c>
      <c r="F48" s="192"/>
      <c r="G48" s="190"/>
      <c r="H48" s="193"/>
      <c r="I48" s="193"/>
      <c r="J48" s="194"/>
      <c r="K48" s="195">
        <f t="shared" si="22"/>
        <v>31</v>
      </c>
      <c r="L48" s="195">
        <f t="shared" si="22"/>
        <v>31</v>
      </c>
      <c r="M48" s="190"/>
      <c r="N48" s="196"/>
      <c r="O48" s="197"/>
      <c r="P48" s="198" t="str">
        <f t="shared" si="0"/>
        <v/>
      </c>
      <c r="R48" s="309" t="s">
        <v>230</v>
      </c>
      <c r="S48" s="310"/>
      <c r="T48" s="310"/>
      <c r="U48" s="311"/>
    </row>
    <row r="49" spans="2:23" x14ac:dyDescent="0.35">
      <c r="B49" s="190"/>
      <c r="C49" s="190"/>
      <c r="D49" s="190"/>
      <c r="E49" s="191" t="str">
        <f t="shared" si="21"/>
        <v>--</v>
      </c>
      <c r="F49" s="192"/>
      <c r="G49" s="190"/>
      <c r="H49" s="193"/>
      <c r="I49" s="193"/>
      <c r="J49" s="194"/>
      <c r="K49" s="195">
        <f t="shared" si="22"/>
        <v>31</v>
      </c>
      <c r="L49" s="195">
        <f t="shared" si="22"/>
        <v>31</v>
      </c>
      <c r="M49" s="190"/>
      <c r="N49" s="196"/>
      <c r="O49" s="197"/>
      <c r="P49" s="198" t="str">
        <f t="shared" si="0"/>
        <v/>
      </c>
      <c r="R49" s="312" t="s">
        <v>43</v>
      </c>
      <c r="S49" s="313" t="s">
        <v>231</v>
      </c>
      <c r="T49" s="313" t="s">
        <v>232</v>
      </c>
      <c r="U49" s="314" t="s">
        <v>233</v>
      </c>
    </row>
    <row r="50" spans="2:23" x14ac:dyDescent="0.35">
      <c r="B50" s="190"/>
      <c r="C50" s="190"/>
      <c r="D50" s="190"/>
      <c r="E50" s="191" t="str">
        <f t="shared" si="21"/>
        <v>--</v>
      </c>
      <c r="F50" s="192"/>
      <c r="G50" s="190"/>
      <c r="H50" s="193"/>
      <c r="I50" s="193"/>
      <c r="J50" s="194"/>
      <c r="K50" s="195">
        <f t="shared" si="22"/>
        <v>31</v>
      </c>
      <c r="L50" s="195">
        <f t="shared" si="22"/>
        <v>31</v>
      </c>
      <c r="M50" s="190"/>
      <c r="N50" s="196"/>
      <c r="O50" s="197"/>
      <c r="P50" s="198" t="str">
        <f t="shared" si="0"/>
        <v/>
      </c>
      <c r="R50" s="264" t="s">
        <v>234</v>
      </c>
      <c r="S50" s="265"/>
      <c r="T50" s="266">
        <f>T42</f>
        <v>282</v>
      </c>
      <c r="U50" s="315" t="str">
        <f>IF(S50=T50,"ALL GOOD","ERROR")</f>
        <v>ERROR</v>
      </c>
    </row>
    <row r="51" spans="2:23" x14ac:dyDescent="0.35">
      <c r="B51" s="190"/>
      <c r="C51" s="190"/>
      <c r="D51" s="190"/>
      <c r="E51" s="191" t="str">
        <f t="shared" si="21"/>
        <v>--</v>
      </c>
      <c r="F51" s="192"/>
      <c r="G51" s="190"/>
      <c r="H51" s="193"/>
      <c r="I51" s="193"/>
      <c r="J51" s="194"/>
      <c r="K51" s="195">
        <f t="shared" si="22"/>
        <v>31</v>
      </c>
      <c r="L51" s="195">
        <f t="shared" si="22"/>
        <v>31</v>
      </c>
      <c r="M51" s="190"/>
      <c r="N51" s="196"/>
      <c r="O51" s="197"/>
      <c r="P51" s="198" t="str">
        <f t="shared" si="0"/>
        <v/>
      </c>
      <c r="R51" s="264" t="s">
        <v>235</v>
      </c>
      <c r="S51" s="267"/>
      <c r="T51" s="267">
        <f>SUM(N:N)</f>
        <v>0</v>
      </c>
      <c r="U51" s="315" t="str">
        <f t="shared" ref="U51:U53" si="32">IF(S51=T51,"ALL GOOD","ERROR")</f>
        <v>ALL GOOD</v>
      </c>
    </row>
    <row r="52" spans="2:23" x14ac:dyDescent="0.35">
      <c r="B52" s="190"/>
      <c r="C52" s="190"/>
      <c r="D52" s="190"/>
      <c r="E52" s="191" t="str">
        <f t="shared" si="21"/>
        <v>--</v>
      </c>
      <c r="F52" s="192"/>
      <c r="G52" s="190"/>
      <c r="H52" s="193"/>
      <c r="I52" s="193"/>
      <c r="J52" s="194"/>
      <c r="K52" s="195">
        <f t="shared" si="22"/>
        <v>31</v>
      </c>
      <c r="L52" s="195">
        <f t="shared" si="22"/>
        <v>31</v>
      </c>
      <c r="M52" s="190"/>
      <c r="N52" s="196"/>
      <c r="O52" s="197"/>
      <c r="P52" s="198" t="str">
        <f t="shared" si="0"/>
        <v/>
      </c>
      <c r="R52" s="264" t="s">
        <v>236</v>
      </c>
      <c r="S52" s="267"/>
      <c r="T52" s="267">
        <f>SUM(O:O)</f>
        <v>0</v>
      </c>
      <c r="U52" s="315" t="str">
        <f t="shared" si="32"/>
        <v>ALL GOOD</v>
      </c>
      <c r="W52" s="199"/>
    </row>
    <row r="53" spans="2:23" x14ac:dyDescent="0.35">
      <c r="B53" s="190"/>
      <c r="C53" s="190"/>
      <c r="D53" s="190"/>
      <c r="E53" s="191" t="str">
        <f t="shared" si="21"/>
        <v>--</v>
      </c>
      <c r="F53" s="192"/>
      <c r="G53" s="190"/>
      <c r="H53" s="193"/>
      <c r="I53" s="193"/>
      <c r="J53" s="194"/>
      <c r="K53" s="195">
        <f t="shared" si="22"/>
        <v>31</v>
      </c>
      <c r="L53" s="195">
        <f t="shared" si="22"/>
        <v>31</v>
      </c>
      <c r="M53" s="190"/>
      <c r="N53" s="196"/>
      <c r="O53" s="197"/>
      <c r="P53" s="198" t="str">
        <f t="shared" si="0"/>
        <v/>
      </c>
      <c r="R53" s="268" t="s">
        <v>237</v>
      </c>
      <c r="S53" s="269"/>
      <c r="T53" s="269">
        <f>SUM(G:G)</f>
        <v>0</v>
      </c>
      <c r="U53" s="316" t="str">
        <f t="shared" si="32"/>
        <v>ALL GOOD</v>
      </c>
    </row>
    <row r="54" spans="2:23" x14ac:dyDescent="0.35">
      <c r="B54" s="190"/>
      <c r="C54" s="190"/>
      <c r="D54" s="190"/>
      <c r="E54" s="191" t="str">
        <f t="shared" si="21"/>
        <v>--</v>
      </c>
      <c r="F54" s="192"/>
      <c r="G54" s="190"/>
      <c r="H54" s="193"/>
      <c r="I54" s="193"/>
      <c r="J54" s="194"/>
      <c r="K54" s="195">
        <f t="shared" si="22"/>
        <v>31</v>
      </c>
      <c r="L54" s="195">
        <f t="shared" si="22"/>
        <v>31</v>
      </c>
      <c r="M54" s="190"/>
      <c r="N54" s="196"/>
      <c r="O54" s="197"/>
      <c r="P54" s="198" t="str">
        <f t="shared" si="0"/>
        <v/>
      </c>
    </row>
    <row r="55" spans="2:23" x14ac:dyDescent="0.35">
      <c r="B55" s="190"/>
      <c r="C55" s="190"/>
      <c r="D55" s="190"/>
      <c r="E55" s="191" t="str">
        <f t="shared" si="21"/>
        <v>--</v>
      </c>
      <c r="F55" s="192"/>
      <c r="G55" s="190"/>
      <c r="H55" s="193"/>
      <c r="I55" s="193"/>
      <c r="J55" s="194"/>
      <c r="K55" s="195">
        <f t="shared" si="22"/>
        <v>31</v>
      </c>
      <c r="L55" s="195">
        <f t="shared" si="22"/>
        <v>31</v>
      </c>
      <c r="M55" s="190"/>
      <c r="N55" s="196"/>
      <c r="O55" s="197"/>
      <c r="P55" s="198" t="str">
        <f t="shared" si="0"/>
        <v/>
      </c>
      <c r="R55" s="270" t="s">
        <v>238</v>
      </c>
      <c r="S55" s="271"/>
      <c r="T55" s="271"/>
    </row>
    <row r="56" spans="2:23" x14ac:dyDescent="0.35">
      <c r="B56" s="190"/>
      <c r="C56" s="190"/>
      <c r="D56" s="190"/>
      <c r="E56" s="191" t="str">
        <f t="shared" si="21"/>
        <v>--</v>
      </c>
      <c r="F56" s="192"/>
      <c r="G56" s="190"/>
      <c r="H56" s="193"/>
      <c r="I56" s="193"/>
      <c r="J56" s="194"/>
      <c r="K56" s="195">
        <f t="shared" si="22"/>
        <v>31</v>
      </c>
      <c r="L56" s="195">
        <f t="shared" si="22"/>
        <v>31</v>
      </c>
      <c r="M56" s="190"/>
      <c r="N56" s="196"/>
      <c r="O56" s="197"/>
      <c r="P56" s="198" t="str">
        <f t="shared" si="0"/>
        <v/>
      </c>
      <c r="R56" s="317" t="s">
        <v>239</v>
      </c>
      <c r="S56" s="272" t="str">
        <f>AK42</f>
        <v/>
      </c>
      <c r="T56" s="273" t="s">
        <v>240</v>
      </c>
    </row>
    <row r="57" spans="2:23" x14ac:dyDescent="0.35">
      <c r="B57" s="190"/>
      <c r="C57" s="190"/>
      <c r="D57" s="190"/>
      <c r="E57" s="191" t="str">
        <f t="shared" si="21"/>
        <v>--</v>
      </c>
      <c r="F57" s="192"/>
      <c r="G57" s="190"/>
      <c r="H57" s="193"/>
      <c r="I57" s="193"/>
      <c r="J57" s="194"/>
      <c r="K57" s="195">
        <f t="shared" si="22"/>
        <v>31</v>
      </c>
      <c r="L57" s="195">
        <f t="shared" si="22"/>
        <v>31</v>
      </c>
      <c r="M57" s="190"/>
      <c r="N57" s="196"/>
      <c r="O57" s="197"/>
      <c r="P57" s="198" t="str">
        <f t="shared" si="0"/>
        <v/>
      </c>
      <c r="R57" s="317" t="s">
        <v>221</v>
      </c>
      <c r="S57" s="272">
        <f>AU46</f>
        <v>0</v>
      </c>
      <c r="T57" s="274"/>
    </row>
    <row r="58" spans="2:23" x14ac:dyDescent="0.35">
      <c r="B58" s="190"/>
      <c r="C58" s="190"/>
      <c r="D58" s="190"/>
      <c r="E58" s="191" t="str">
        <f t="shared" si="21"/>
        <v>--</v>
      </c>
      <c r="F58" s="192"/>
      <c r="G58" s="190"/>
      <c r="H58" s="193"/>
      <c r="I58" s="193"/>
      <c r="J58" s="194"/>
      <c r="K58" s="195">
        <f t="shared" si="22"/>
        <v>31</v>
      </c>
      <c r="L58" s="195">
        <f t="shared" si="22"/>
        <v>31</v>
      </c>
      <c r="M58" s="190"/>
      <c r="N58" s="196"/>
      <c r="O58" s="197"/>
      <c r="P58" s="198" t="str">
        <f t="shared" si="0"/>
        <v/>
      </c>
      <c r="R58" s="317" t="s">
        <v>226</v>
      </c>
      <c r="S58" s="272">
        <f>X46</f>
        <v>0</v>
      </c>
      <c r="T58" s="274"/>
    </row>
    <row r="59" spans="2:23" x14ac:dyDescent="0.35">
      <c r="B59" s="190"/>
      <c r="C59" s="190"/>
      <c r="D59" s="190"/>
      <c r="E59" s="191" t="str">
        <f t="shared" si="21"/>
        <v>--</v>
      </c>
      <c r="F59" s="192"/>
      <c r="G59" s="190"/>
      <c r="H59" s="193"/>
      <c r="I59" s="193"/>
      <c r="J59" s="194"/>
      <c r="K59" s="195">
        <f t="shared" si="22"/>
        <v>31</v>
      </c>
      <c r="L59" s="195">
        <f t="shared" si="22"/>
        <v>31</v>
      </c>
      <c r="M59" s="190"/>
      <c r="N59" s="196"/>
      <c r="O59" s="197"/>
      <c r="P59" s="198" t="str">
        <f t="shared" si="0"/>
        <v/>
      </c>
    </row>
    <row r="60" spans="2:23" x14ac:dyDescent="0.35">
      <c r="B60" s="190"/>
      <c r="C60" s="190"/>
      <c r="D60" s="190"/>
      <c r="E60" s="191" t="str">
        <f t="shared" si="21"/>
        <v>--</v>
      </c>
      <c r="F60" s="192"/>
      <c r="G60" s="190"/>
      <c r="H60" s="193"/>
      <c r="I60" s="193"/>
      <c r="J60" s="194"/>
      <c r="K60" s="195">
        <f t="shared" si="22"/>
        <v>31</v>
      </c>
      <c r="L60" s="195">
        <f t="shared" si="22"/>
        <v>31</v>
      </c>
      <c r="M60" s="190"/>
      <c r="N60" s="196"/>
      <c r="O60" s="197"/>
      <c r="P60" s="198" t="str">
        <f t="shared" si="0"/>
        <v/>
      </c>
    </row>
    <row r="61" spans="2:23" x14ac:dyDescent="0.35">
      <c r="B61" s="190"/>
      <c r="C61" s="190"/>
      <c r="D61" s="190"/>
      <c r="E61" s="191" t="str">
        <f t="shared" si="21"/>
        <v>--</v>
      </c>
      <c r="F61" s="192"/>
      <c r="G61" s="190"/>
      <c r="H61" s="193"/>
      <c r="I61" s="193"/>
      <c r="J61" s="194"/>
      <c r="K61" s="195">
        <f t="shared" si="22"/>
        <v>31</v>
      </c>
      <c r="L61" s="195">
        <f t="shared" si="22"/>
        <v>31</v>
      </c>
      <c r="M61" s="190"/>
      <c r="N61" s="196"/>
      <c r="O61" s="197"/>
      <c r="P61" s="198" t="str">
        <f t="shared" si="0"/>
        <v/>
      </c>
    </row>
    <row r="62" spans="2:23" x14ac:dyDescent="0.35">
      <c r="B62" s="190"/>
      <c r="C62" s="190"/>
      <c r="D62" s="190"/>
      <c r="E62" s="191" t="str">
        <f t="shared" si="21"/>
        <v>--</v>
      </c>
      <c r="F62" s="192"/>
      <c r="G62" s="190"/>
      <c r="H62" s="193"/>
      <c r="I62" s="193"/>
      <c r="J62" s="194"/>
      <c r="K62" s="195">
        <f t="shared" si="22"/>
        <v>31</v>
      </c>
      <c r="L62" s="195">
        <f t="shared" si="22"/>
        <v>31</v>
      </c>
      <c r="M62" s="190"/>
      <c r="N62" s="196"/>
      <c r="O62" s="197"/>
      <c r="P62" s="198" t="str">
        <f t="shared" si="0"/>
        <v/>
      </c>
    </row>
    <row r="63" spans="2:23" x14ac:dyDescent="0.35">
      <c r="B63" s="190"/>
      <c r="C63" s="190"/>
      <c r="D63" s="190"/>
      <c r="E63" s="191" t="str">
        <f t="shared" si="21"/>
        <v>--</v>
      </c>
      <c r="F63" s="192"/>
      <c r="G63" s="190"/>
      <c r="H63" s="193"/>
      <c r="I63" s="193"/>
      <c r="J63" s="194"/>
      <c r="K63" s="195">
        <f t="shared" si="22"/>
        <v>31</v>
      </c>
      <c r="L63" s="195">
        <f t="shared" si="22"/>
        <v>31</v>
      </c>
      <c r="M63" s="190"/>
      <c r="N63" s="196"/>
      <c r="O63" s="197"/>
      <c r="P63" s="198" t="str">
        <f t="shared" si="0"/>
        <v/>
      </c>
    </row>
    <row r="64" spans="2:23" x14ac:dyDescent="0.35">
      <c r="B64" s="190"/>
      <c r="C64" s="190"/>
      <c r="D64" s="190"/>
      <c r="E64" s="191" t="str">
        <f t="shared" si="21"/>
        <v>--</v>
      </c>
      <c r="F64" s="192"/>
      <c r="G64" s="190"/>
      <c r="H64" s="193"/>
      <c r="I64" s="193"/>
      <c r="J64" s="194"/>
      <c r="K64" s="195">
        <f t="shared" si="22"/>
        <v>31</v>
      </c>
      <c r="L64" s="195">
        <f t="shared" si="22"/>
        <v>31</v>
      </c>
      <c r="M64" s="190"/>
      <c r="N64" s="196"/>
      <c r="O64" s="197"/>
      <c r="P64" s="198" t="str">
        <f t="shared" si="0"/>
        <v/>
      </c>
    </row>
    <row r="65" spans="2:34" x14ac:dyDescent="0.35">
      <c r="B65" s="190"/>
      <c r="C65" s="190"/>
      <c r="D65" s="190"/>
      <c r="E65" s="191" t="str">
        <f t="shared" si="21"/>
        <v>--</v>
      </c>
      <c r="F65" s="192"/>
      <c r="G65" s="190"/>
      <c r="H65" s="193"/>
      <c r="I65" s="193"/>
      <c r="J65" s="194"/>
      <c r="K65" s="195">
        <f t="shared" si="22"/>
        <v>31</v>
      </c>
      <c r="L65" s="195">
        <f t="shared" si="22"/>
        <v>31</v>
      </c>
      <c r="M65" s="190"/>
      <c r="N65" s="196"/>
      <c r="O65" s="197"/>
      <c r="P65" s="198" t="str">
        <f t="shared" si="0"/>
        <v/>
      </c>
    </row>
    <row r="66" spans="2:34" x14ac:dyDescent="0.35">
      <c r="B66" s="190"/>
      <c r="C66" s="190"/>
      <c r="D66" s="190"/>
      <c r="E66" s="191" t="str">
        <f t="shared" si="21"/>
        <v>--</v>
      </c>
      <c r="F66" s="192"/>
      <c r="G66" s="190"/>
      <c r="H66" s="193"/>
      <c r="I66" s="193"/>
      <c r="J66" s="194"/>
      <c r="K66" s="195">
        <f t="shared" si="22"/>
        <v>31</v>
      </c>
      <c r="L66" s="195">
        <f t="shared" si="22"/>
        <v>31</v>
      </c>
      <c r="M66" s="190"/>
      <c r="N66" s="196"/>
      <c r="O66" s="197"/>
      <c r="P66" s="198" t="str">
        <f t="shared" si="0"/>
        <v/>
      </c>
      <c r="R66" s="63"/>
      <c r="S66" s="63"/>
      <c r="T66" s="63"/>
      <c r="U66" s="63"/>
      <c r="V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</row>
    <row r="67" spans="2:34" x14ac:dyDescent="0.35">
      <c r="B67" s="190"/>
      <c r="C67" s="190"/>
      <c r="D67" s="190"/>
      <c r="E67" s="191" t="str">
        <f t="shared" si="21"/>
        <v>--</v>
      </c>
      <c r="F67" s="192"/>
      <c r="G67" s="190"/>
      <c r="H67" s="193"/>
      <c r="I67" s="193"/>
      <c r="J67" s="194"/>
      <c r="K67" s="195">
        <f t="shared" si="22"/>
        <v>31</v>
      </c>
      <c r="L67" s="195">
        <f t="shared" si="22"/>
        <v>31</v>
      </c>
      <c r="M67" s="190"/>
      <c r="N67" s="196"/>
      <c r="O67" s="197"/>
      <c r="P67" s="198" t="str">
        <f t="shared" si="0"/>
        <v/>
      </c>
      <c r="R67" s="63"/>
      <c r="S67" s="63"/>
      <c r="T67" s="63"/>
      <c r="U67" s="63"/>
      <c r="V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</row>
    <row r="68" spans="2:34" x14ac:dyDescent="0.35">
      <c r="B68" s="190"/>
      <c r="C68" s="190"/>
      <c r="D68" s="190"/>
      <c r="E68" s="191" t="str">
        <f t="shared" si="21"/>
        <v>--</v>
      </c>
      <c r="F68" s="192"/>
      <c r="G68" s="190"/>
      <c r="H68" s="193"/>
      <c r="I68" s="193"/>
      <c r="J68" s="194"/>
      <c r="K68" s="195">
        <f t="shared" si="22"/>
        <v>31</v>
      </c>
      <c r="L68" s="195">
        <f t="shared" si="22"/>
        <v>31</v>
      </c>
      <c r="M68" s="190"/>
      <c r="N68" s="196"/>
      <c r="O68" s="197"/>
      <c r="P68" s="198" t="str">
        <f t="shared" si="0"/>
        <v/>
      </c>
      <c r="R68" s="63"/>
      <c r="S68" s="63"/>
      <c r="T68" s="63"/>
      <c r="U68" s="63"/>
      <c r="V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</row>
    <row r="69" spans="2:34" x14ac:dyDescent="0.35">
      <c r="B69" s="190"/>
      <c r="C69" s="190"/>
      <c r="D69" s="190"/>
      <c r="E69" s="191" t="str">
        <f t="shared" si="21"/>
        <v>--</v>
      </c>
      <c r="F69" s="192"/>
      <c r="G69" s="190"/>
      <c r="H69" s="193"/>
      <c r="I69" s="193"/>
      <c r="J69" s="194"/>
      <c r="K69" s="195">
        <f t="shared" si="22"/>
        <v>31</v>
      </c>
      <c r="L69" s="195">
        <f t="shared" si="22"/>
        <v>31</v>
      </c>
      <c r="M69" s="190"/>
      <c r="N69" s="196"/>
      <c r="O69" s="197"/>
      <c r="P69" s="198" t="str">
        <f t="shared" si="0"/>
        <v/>
      </c>
      <c r="R69" s="63"/>
      <c r="S69" s="63"/>
      <c r="T69" s="63"/>
      <c r="U69" s="63"/>
      <c r="V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</row>
    <row r="70" spans="2:34" x14ac:dyDescent="0.35">
      <c r="B70" s="190"/>
      <c r="C70" s="190"/>
      <c r="D70" s="190"/>
      <c r="E70" s="191" t="str">
        <f t="shared" si="21"/>
        <v>--</v>
      </c>
      <c r="F70" s="192"/>
      <c r="G70" s="190"/>
      <c r="H70" s="193"/>
      <c r="I70" s="193"/>
      <c r="J70" s="194"/>
      <c r="K70" s="195">
        <f t="shared" si="22"/>
        <v>31</v>
      </c>
      <c r="L70" s="195">
        <f t="shared" si="22"/>
        <v>31</v>
      </c>
      <c r="M70" s="190"/>
      <c r="N70" s="196"/>
      <c r="O70" s="197"/>
      <c r="P70" s="198" t="str">
        <f t="shared" si="0"/>
        <v/>
      </c>
      <c r="R70" s="63"/>
      <c r="S70" s="63"/>
      <c r="T70" s="63"/>
      <c r="U70" s="63"/>
      <c r="V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</row>
    <row r="71" spans="2:34" x14ac:dyDescent="0.35">
      <c r="B71" s="190"/>
      <c r="C71" s="190"/>
      <c r="D71" s="190"/>
      <c r="E71" s="191" t="str">
        <f t="shared" si="21"/>
        <v>--</v>
      </c>
      <c r="F71" s="192"/>
      <c r="G71" s="190"/>
      <c r="H71" s="193"/>
      <c r="I71" s="193"/>
      <c r="J71" s="194"/>
      <c r="K71" s="195">
        <f t="shared" si="22"/>
        <v>31</v>
      </c>
      <c r="L71" s="195">
        <f t="shared" si="22"/>
        <v>31</v>
      </c>
      <c r="M71" s="190"/>
      <c r="N71" s="196"/>
      <c r="O71" s="197"/>
      <c r="P71" s="198" t="str">
        <f t="shared" si="0"/>
        <v/>
      </c>
      <c r="R71" s="63"/>
      <c r="S71" s="63"/>
      <c r="T71" s="63"/>
      <c r="U71" s="63"/>
      <c r="V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</row>
    <row r="72" spans="2:34" x14ac:dyDescent="0.35">
      <c r="B72" s="190"/>
      <c r="C72" s="190"/>
      <c r="D72" s="190"/>
      <c r="E72" s="191" t="str">
        <f t="shared" si="21"/>
        <v>--</v>
      </c>
      <c r="F72" s="192"/>
      <c r="G72" s="190"/>
      <c r="H72" s="193"/>
      <c r="I72" s="193"/>
      <c r="J72" s="194"/>
      <c r="K72" s="195">
        <f t="shared" si="22"/>
        <v>31</v>
      </c>
      <c r="L72" s="195">
        <f t="shared" si="22"/>
        <v>31</v>
      </c>
      <c r="M72" s="190"/>
      <c r="N72" s="196"/>
      <c r="O72" s="197"/>
      <c r="P72" s="198" t="str">
        <f t="shared" ref="P72:P135" si="33">IF(H72="","",IF(($C$5-H72)/365&gt;1.5,"Renewed Lease","New Lease"))</f>
        <v/>
      </c>
      <c r="R72" s="63"/>
      <c r="S72" s="63"/>
      <c r="T72" s="63"/>
      <c r="U72" s="63"/>
      <c r="V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</row>
    <row r="73" spans="2:34" x14ac:dyDescent="0.35">
      <c r="B73" s="190"/>
      <c r="C73" s="190"/>
      <c r="D73" s="190"/>
      <c r="E73" s="191" t="str">
        <f t="shared" ref="E73:E136" si="34">F73&amp;"-"&amp;D73&amp;"-"&amp;C73</f>
        <v>--</v>
      </c>
      <c r="F73" s="192"/>
      <c r="G73" s="190"/>
      <c r="H73" s="193"/>
      <c r="I73" s="193"/>
      <c r="J73" s="194"/>
      <c r="K73" s="195">
        <f t="shared" ref="K73:L128" si="35">EOMONTH(I73,0)</f>
        <v>31</v>
      </c>
      <c r="L73" s="195">
        <f t="shared" si="35"/>
        <v>31</v>
      </c>
      <c r="M73" s="190"/>
      <c r="N73" s="196"/>
      <c r="O73" s="197"/>
      <c r="P73" s="198" t="str">
        <f t="shared" si="33"/>
        <v/>
      </c>
      <c r="R73" s="63"/>
      <c r="S73" s="63"/>
      <c r="T73" s="63"/>
      <c r="U73" s="63"/>
      <c r="V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</row>
    <row r="74" spans="2:34" x14ac:dyDescent="0.35">
      <c r="B74" s="190"/>
      <c r="C74" s="190"/>
      <c r="D74" s="190"/>
      <c r="E74" s="191" t="str">
        <f t="shared" si="34"/>
        <v>--</v>
      </c>
      <c r="F74" s="192"/>
      <c r="G74" s="190"/>
      <c r="H74" s="193"/>
      <c r="I74" s="193"/>
      <c r="J74" s="194"/>
      <c r="K74" s="195">
        <f t="shared" si="35"/>
        <v>31</v>
      </c>
      <c r="L74" s="195">
        <f t="shared" si="35"/>
        <v>31</v>
      </c>
      <c r="M74" s="190"/>
      <c r="N74" s="196"/>
      <c r="O74" s="197"/>
      <c r="P74" s="198" t="str">
        <f t="shared" si="33"/>
        <v/>
      </c>
      <c r="R74" s="63"/>
      <c r="S74" s="63"/>
      <c r="T74" s="63"/>
      <c r="U74" s="63"/>
      <c r="V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</row>
    <row r="75" spans="2:34" x14ac:dyDescent="0.35">
      <c r="B75" s="190"/>
      <c r="C75" s="190"/>
      <c r="D75" s="190"/>
      <c r="E75" s="191" t="str">
        <f t="shared" si="34"/>
        <v>--</v>
      </c>
      <c r="F75" s="192"/>
      <c r="G75" s="190"/>
      <c r="H75" s="193"/>
      <c r="I75" s="193"/>
      <c r="J75" s="194"/>
      <c r="K75" s="195">
        <f t="shared" si="35"/>
        <v>31</v>
      </c>
      <c r="L75" s="195">
        <f t="shared" si="35"/>
        <v>31</v>
      </c>
      <c r="M75" s="190"/>
      <c r="N75" s="196"/>
      <c r="O75" s="197"/>
      <c r="P75" s="198" t="str">
        <f t="shared" si="33"/>
        <v/>
      </c>
      <c r="R75" s="63"/>
      <c r="S75" s="63"/>
      <c r="T75" s="63"/>
      <c r="U75" s="63"/>
      <c r="V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</row>
    <row r="76" spans="2:34" x14ac:dyDescent="0.35">
      <c r="B76" s="190"/>
      <c r="C76" s="190"/>
      <c r="D76" s="190"/>
      <c r="E76" s="191" t="str">
        <f t="shared" si="34"/>
        <v>--</v>
      </c>
      <c r="F76" s="192"/>
      <c r="G76" s="190"/>
      <c r="H76" s="193"/>
      <c r="I76" s="193"/>
      <c r="J76" s="194"/>
      <c r="K76" s="195">
        <f t="shared" si="35"/>
        <v>31</v>
      </c>
      <c r="L76" s="195">
        <f t="shared" si="35"/>
        <v>31</v>
      </c>
      <c r="M76" s="190"/>
      <c r="N76" s="196"/>
      <c r="O76" s="197"/>
      <c r="P76" s="198" t="str">
        <f t="shared" si="33"/>
        <v/>
      </c>
      <c r="R76" s="63"/>
      <c r="S76" s="63"/>
      <c r="T76" s="63"/>
      <c r="U76" s="63"/>
      <c r="V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</row>
    <row r="77" spans="2:34" x14ac:dyDescent="0.35">
      <c r="B77" s="190"/>
      <c r="C77" s="190"/>
      <c r="D77" s="190"/>
      <c r="E77" s="191" t="str">
        <f t="shared" si="34"/>
        <v>--</v>
      </c>
      <c r="F77" s="192"/>
      <c r="G77" s="190"/>
      <c r="H77" s="193"/>
      <c r="I77" s="193"/>
      <c r="J77" s="194"/>
      <c r="K77" s="195">
        <f t="shared" si="35"/>
        <v>31</v>
      </c>
      <c r="L77" s="195">
        <f t="shared" si="35"/>
        <v>31</v>
      </c>
      <c r="M77" s="190"/>
      <c r="N77" s="196"/>
      <c r="O77" s="197"/>
      <c r="P77" s="198" t="str">
        <f t="shared" si="33"/>
        <v/>
      </c>
      <c r="R77" s="63"/>
      <c r="S77" s="63"/>
      <c r="T77" s="63"/>
      <c r="U77" s="63"/>
      <c r="V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</row>
    <row r="78" spans="2:34" x14ac:dyDescent="0.35">
      <c r="B78" s="190"/>
      <c r="C78" s="190"/>
      <c r="D78" s="190"/>
      <c r="E78" s="191" t="str">
        <f t="shared" si="34"/>
        <v>--</v>
      </c>
      <c r="F78" s="192"/>
      <c r="G78" s="190"/>
      <c r="H78" s="193"/>
      <c r="I78" s="193"/>
      <c r="J78" s="194"/>
      <c r="K78" s="195">
        <f t="shared" si="35"/>
        <v>31</v>
      </c>
      <c r="L78" s="195">
        <f t="shared" si="35"/>
        <v>31</v>
      </c>
      <c r="M78" s="190"/>
      <c r="N78" s="196"/>
      <c r="O78" s="197"/>
      <c r="P78" s="198" t="str">
        <f t="shared" si="33"/>
        <v/>
      </c>
      <c r="R78" s="63"/>
      <c r="S78" s="63"/>
      <c r="T78" s="63"/>
      <c r="U78" s="63"/>
      <c r="V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</row>
    <row r="79" spans="2:34" x14ac:dyDescent="0.35">
      <c r="B79" s="190"/>
      <c r="C79" s="190"/>
      <c r="D79" s="190"/>
      <c r="E79" s="191" t="str">
        <f t="shared" si="34"/>
        <v>--</v>
      </c>
      <c r="F79" s="192"/>
      <c r="G79" s="190"/>
      <c r="H79" s="193"/>
      <c r="I79" s="193"/>
      <c r="J79" s="194"/>
      <c r="K79" s="195">
        <f t="shared" si="35"/>
        <v>31</v>
      </c>
      <c r="L79" s="195">
        <f t="shared" si="35"/>
        <v>31</v>
      </c>
      <c r="M79" s="190"/>
      <c r="N79" s="196"/>
      <c r="O79" s="197"/>
      <c r="P79" s="198" t="str">
        <f t="shared" si="33"/>
        <v/>
      </c>
      <c r="R79" s="63"/>
      <c r="S79" s="63"/>
      <c r="T79" s="63"/>
      <c r="U79" s="63"/>
      <c r="V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</row>
    <row r="80" spans="2:34" x14ac:dyDescent="0.35">
      <c r="B80" s="190"/>
      <c r="C80" s="190"/>
      <c r="D80" s="190"/>
      <c r="E80" s="191" t="str">
        <f t="shared" si="34"/>
        <v>--</v>
      </c>
      <c r="F80" s="192"/>
      <c r="G80" s="190"/>
      <c r="H80" s="193"/>
      <c r="I80" s="193"/>
      <c r="J80" s="194"/>
      <c r="K80" s="195">
        <f t="shared" si="35"/>
        <v>31</v>
      </c>
      <c r="L80" s="195">
        <f t="shared" si="35"/>
        <v>31</v>
      </c>
      <c r="M80" s="190"/>
      <c r="N80" s="196"/>
      <c r="O80" s="197"/>
      <c r="P80" s="198" t="str">
        <f t="shared" si="33"/>
        <v/>
      </c>
      <c r="R80" s="63"/>
      <c r="S80" s="63"/>
      <c r="T80" s="63"/>
      <c r="U80" s="63"/>
      <c r="V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</row>
    <row r="81" spans="2:34" x14ac:dyDescent="0.35">
      <c r="B81" s="190"/>
      <c r="C81" s="190"/>
      <c r="D81" s="190"/>
      <c r="E81" s="191" t="str">
        <f t="shared" si="34"/>
        <v>--</v>
      </c>
      <c r="F81" s="192"/>
      <c r="G81" s="190"/>
      <c r="H81" s="193"/>
      <c r="I81" s="193"/>
      <c r="J81" s="194"/>
      <c r="K81" s="195">
        <f t="shared" si="35"/>
        <v>31</v>
      </c>
      <c r="L81" s="195">
        <f t="shared" si="35"/>
        <v>31</v>
      </c>
      <c r="M81" s="190"/>
      <c r="N81" s="196"/>
      <c r="O81" s="197"/>
      <c r="P81" s="198" t="str">
        <f t="shared" si="33"/>
        <v/>
      </c>
      <c r="R81" s="63"/>
      <c r="S81" s="63"/>
      <c r="T81" s="63"/>
      <c r="U81" s="63"/>
      <c r="V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</row>
    <row r="82" spans="2:34" x14ac:dyDescent="0.35">
      <c r="B82" s="190"/>
      <c r="C82" s="190"/>
      <c r="D82" s="190"/>
      <c r="E82" s="191" t="str">
        <f t="shared" si="34"/>
        <v>--</v>
      </c>
      <c r="F82" s="192"/>
      <c r="G82" s="190"/>
      <c r="H82" s="193"/>
      <c r="I82" s="193"/>
      <c r="J82" s="194"/>
      <c r="K82" s="195">
        <f t="shared" si="35"/>
        <v>31</v>
      </c>
      <c r="L82" s="195">
        <f t="shared" si="35"/>
        <v>31</v>
      </c>
      <c r="M82" s="190"/>
      <c r="N82" s="196"/>
      <c r="O82" s="197"/>
      <c r="P82" s="198" t="str">
        <f t="shared" si="33"/>
        <v/>
      </c>
      <c r="R82" s="63"/>
      <c r="S82" s="63"/>
      <c r="T82" s="63"/>
      <c r="U82" s="63"/>
      <c r="V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</row>
    <row r="83" spans="2:34" x14ac:dyDescent="0.35">
      <c r="B83" s="190"/>
      <c r="C83" s="190"/>
      <c r="D83" s="190"/>
      <c r="E83" s="191" t="str">
        <f t="shared" si="34"/>
        <v>--</v>
      </c>
      <c r="F83" s="192"/>
      <c r="G83" s="190"/>
      <c r="H83" s="193"/>
      <c r="I83" s="193"/>
      <c r="J83" s="194"/>
      <c r="K83" s="195">
        <f t="shared" si="35"/>
        <v>31</v>
      </c>
      <c r="L83" s="195">
        <f t="shared" si="35"/>
        <v>31</v>
      </c>
      <c r="M83" s="190"/>
      <c r="N83" s="196"/>
      <c r="O83" s="197"/>
      <c r="P83" s="198" t="str">
        <f t="shared" si="33"/>
        <v/>
      </c>
      <c r="R83" s="63"/>
      <c r="S83" s="63"/>
      <c r="T83" s="63"/>
      <c r="U83" s="63"/>
      <c r="V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</row>
    <row r="84" spans="2:34" x14ac:dyDescent="0.35">
      <c r="B84" s="190"/>
      <c r="C84" s="190"/>
      <c r="D84" s="190"/>
      <c r="E84" s="191" t="str">
        <f t="shared" si="34"/>
        <v>--</v>
      </c>
      <c r="F84" s="192"/>
      <c r="G84" s="190"/>
      <c r="H84" s="193"/>
      <c r="I84" s="193"/>
      <c r="J84" s="194"/>
      <c r="K84" s="195">
        <f t="shared" si="35"/>
        <v>31</v>
      </c>
      <c r="L84" s="195">
        <f t="shared" si="35"/>
        <v>31</v>
      </c>
      <c r="M84" s="190"/>
      <c r="N84" s="196"/>
      <c r="O84" s="197"/>
      <c r="P84" s="198" t="str">
        <f t="shared" si="33"/>
        <v/>
      </c>
      <c r="R84" s="63"/>
      <c r="S84" s="63"/>
      <c r="T84" s="63"/>
      <c r="U84" s="63"/>
      <c r="V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</row>
    <row r="85" spans="2:34" x14ac:dyDescent="0.35">
      <c r="B85" s="190"/>
      <c r="C85" s="190"/>
      <c r="D85" s="190"/>
      <c r="E85" s="191" t="str">
        <f t="shared" si="34"/>
        <v>--</v>
      </c>
      <c r="F85" s="192"/>
      <c r="G85" s="190"/>
      <c r="H85" s="193"/>
      <c r="I85" s="193"/>
      <c r="J85" s="194"/>
      <c r="K85" s="195">
        <f t="shared" si="35"/>
        <v>31</v>
      </c>
      <c r="L85" s="195">
        <f t="shared" si="35"/>
        <v>31</v>
      </c>
      <c r="M85" s="190"/>
      <c r="N85" s="196"/>
      <c r="O85" s="197"/>
      <c r="P85" s="198" t="str">
        <f t="shared" si="33"/>
        <v/>
      </c>
      <c r="R85" s="63"/>
      <c r="S85" s="63"/>
      <c r="T85" s="63"/>
      <c r="U85" s="63"/>
      <c r="V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</row>
    <row r="86" spans="2:34" x14ac:dyDescent="0.35">
      <c r="B86" s="190"/>
      <c r="C86" s="190"/>
      <c r="D86" s="190"/>
      <c r="E86" s="191" t="str">
        <f t="shared" si="34"/>
        <v>--</v>
      </c>
      <c r="F86" s="192"/>
      <c r="G86" s="190"/>
      <c r="H86" s="193"/>
      <c r="I86" s="193"/>
      <c r="J86" s="194"/>
      <c r="K86" s="195">
        <f t="shared" si="35"/>
        <v>31</v>
      </c>
      <c r="L86" s="195">
        <f t="shared" si="35"/>
        <v>31</v>
      </c>
      <c r="M86" s="190"/>
      <c r="N86" s="196"/>
      <c r="O86" s="197"/>
      <c r="P86" s="198" t="str">
        <f t="shared" si="33"/>
        <v/>
      </c>
      <c r="R86" s="63"/>
      <c r="S86" s="63"/>
      <c r="T86" s="63"/>
      <c r="U86" s="63"/>
      <c r="V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</row>
    <row r="87" spans="2:34" x14ac:dyDescent="0.35">
      <c r="B87" s="190"/>
      <c r="C87" s="190"/>
      <c r="D87" s="190"/>
      <c r="E87" s="191" t="str">
        <f t="shared" si="34"/>
        <v>--</v>
      </c>
      <c r="F87" s="192"/>
      <c r="G87" s="190"/>
      <c r="H87" s="193"/>
      <c r="I87" s="193"/>
      <c r="J87" s="194"/>
      <c r="K87" s="195">
        <f t="shared" si="35"/>
        <v>31</v>
      </c>
      <c r="L87" s="195">
        <f t="shared" si="35"/>
        <v>31</v>
      </c>
      <c r="M87" s="190"/>
      <c r="N87" s="196"/>
      <c r="O87" s="197"/>
      <c r="P87" s="198" t="str">
        <f t="shared" si="33"/>
        <v/>
      </c>
      <c r="R87" s="63"/>
      <c r="S87" s="63"/>
      <c r="T87" s="63"/>
      <c r="U87" s="63"/>
      <c r="V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</row>
    <row r="88" spans="2:34" x14ac:dyDescent="0.35">
      <c r="B88" s="190"/>
      <c r="C88" s="190"/>
      <c r="D88" s="190"/>
      <c r="E88" s="191" t="str">
        <f t="shared" si="34"/>
        <v>--</v>
      </c>
      <c r="F88" s="192"/>
      <c r="G88" s="190"/>
      <c r="H88" s="193"/>
      <c r="I88" s="193"/>
      <c r="J88" s="194"/>
      <c r="K88" s="195">
        <f t="shared" si="35"/>
        <v>31</v>
      </c>
      <c r="L88" s="195">
        <f t="shared" si="35"/>
        <v>31</v>
      </c>
      <c r="M88" s="190"/>
      <c r="N88" s="196"/>
      <c r="O88" s="197"/>
      <c r="P88" s="198" t="str">
        <f t="shared" si="33"/>
        <v/>
      </c>
      <c r="R88" s="63"/>
      <c r="S88" s="63"/>
      <c r="T88" s="63"/>
      <c r="U88" s="63"/>
      <c r="V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</row>
    <row r="89" spans="2:34" x14ac:dyDescent="0.35">
      <c r="B89" s="190"/>
      <c r="C89" s="190"/>
      <c r="D89" s="190"/>
      <c r="E89" s="191" t="str">
        <f t="shared" si="34"/>
        <v>--</v>
      </c>
      <c r="F89" s="192"/>
      <c r="G89" s="190"/>
      <c r="H89" s="193"/>
      <c r="I89" s="193"/>
      <c r="J89" s="194"/>
      <c r="K89" s="195">
        <f t="shared" si="35"/>
        <v>31</v>
      </c>
      <c r="L89" s="195">
        <f t="shared" si="35"/>
        <v>31</v>
      </c>
      <c r="M89" s="190"/>
      <c r="N89" s="196"/>
      <c r="O89" s="197"/>
      <c r="P89" s="198" t="str">
        <f t="shared" si="33"/>
        <v/>
      </c>
      <c r="R89" s="63"/>
      <c r="S89" s="63"/>
      <c r="T89" s="63"/>
      <c r="U89" s="63"/>
      <c r="V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</row>
    <row r="90" spans="2:34" x14ac:dyDescent="0.35">
      <c r="B90" s="190"/>
      <c r="C90" s="190"/>
      <c r="D90" s="190"/>
      <c r="E90" s="191" t="str">
        <f t="shared" si="34"/>
        <v>--</v>
      </c>
      <c r="F90" s="192"/>
      <c r="G90" s="190"/>
      <c r="H90" s="193"/>
      <c r="I90" s="193"/>
      <c r="J90" s="194"/>
      <c r="K90" s="195">
        <f t="shared" si="35"/>
        <v>31</v>
      </c>
      <c r="L90" s="195">
        <f t="shared" si="35"/>
        <v>31</v>
      </c>
      <c r="M90" s="190"/>
      <c r="N90" s="196"/>
      <c r="O90" s="197"/>
      <c r="P90" s="198" t="str">
        <f t="shared" si="33"/>
        <v/>
      </c>
      <c r="R90" s="63"/>
      <c r="S90" s="63"/>
      <c r="T90" s="63"/>
      <c r="U90" s="63"/>
      <c r="V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</row>
    <row r="91" spans="2:34" x14ac:dyDescent="0.35">
      <c r="B91" s="190"/>
      <c r="C91" s="190"/>
      <c r="D91" s="190"/>
      <c r="E91" s="191" t="str">
        <f t="shared" si="34"/>
        <v>--</v>
      </c>
      <c r="F91" s="192"/>
      <c r="G91" s="190"/>
      <c r="H91" s="193"/>
      <c r="I91" s="193"/>
      <c r="J91" s="194"/>
      <c r="K91" s="195">
        <f t="shared" si="35"/>
        <v>31</v>
      </c>
      <c r="L91" s="195">
        <f t="shared" si="35"/>
        <v>31</v>
      </c>
      <c r="M91" s="190"/>
      <c r="N91" s="196"/>
      <c r="O91" s="197"/>
      <c r="P91" s="198" t="str">
        <f t="shared" si="33"/>
        <v/>
      </c>
      <c r="R91" s="63"/>
      <c r="S91" s="63"/>
      <c r="T91" s="63"/>
      <c r="U91" s="63"/>
      <c r="V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</row>
    <row r="92" spans="2:34" x14ac:dyDescent="0.35">
      <c r="B92" s="190"/>
      <c r="C92" s="190"/>
      <c r="D92" s="190"/>
      <c r="E92" s="191" t="str">
        <f t="shared" si="34"/>
        <v>--</v>
      </c>
      <c r="F92" s="192"/>
      <c r="G92" s="190"/>
      <c r="H92" s="193"/>
      <c r="I92" s="193"/>
      <c r="J92" s="193"/>
      <c r="K92" s="195">
        <f t="shared" si="35"/>
        <v>31</v>
      </c>
      <c r="L92" s="195">
        <f t="shared" si="35"/>
        <v>31</v>
      </c>
      <c r="M92" s="190"/>
      <c r="N92" s="196"/>
      <c r="O92" s="197"/>
      <c r="P92" s="198" t="str">
        <f t="shared" si="33"/>
        <v/>
      </c>
      <c r="R92" s="63"/>
      <c r="S92" s="63"/>
      <c r="T92" s="63"/>
      <c r="U92" s="63"/>
      <c r="V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</row>
    <row r="93" spans="2:34" x14ac:dyDescent="0.35">
      <c r="B93" s="190"/>
      <c r="C93" s="190"/>
      <c r="D93" s="190"/>
      <c r="E93" s="191" t="str">
        <f t="shared" si="34"/>
        <v>--</v>
      </c>
      <c r="F93" s="192"/>
      <c r="G93" s="190"/>
      <c r="H93" s="193"/>
      <c r="I93" s="193"/>
      <c r="J93" s="193"/>
      <c r="K93" s="195">
        <f t="shared" si="35"/>
        <v>31</v>
      </c>
      <c r="L93" s="195">
        <f t="shared" si="35"/>
        <v>31</v>
      </c>
      <c r="M93" s="190"/>
      <c r="N93" s="196"/>
      <c r="O93" s="197"/>
      <c r="P93" s="198" t="str">
        <f t="shared" si="33"/>
        <v/>
      </c>
      <c r="R93" s="63"/>
      <c r="S93" s="63"/>
      <c r="T93" s="63"/>
      <c r="U93" s="63"/>
      <c r="V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</row>
    <row r="94" spans="2:34" x14ac:dyDescent="0.35">
      <c r="B94" s="190"/>
      <c r="C94" s="190"/>
      <c r="D94" s="190"/>
      <c r="E94" s="191" t="str">
        <f t="shared" si="34"/>
        <v>--</v>
      </c>
      <c r="F94" s="192"/>
      <c r="G94" s="190"/>
      <c r="H94" s="193"/>
      <c r="I94" s="193"/>
      <c r="J94" s="193"/>
      <c r="K94" s="195">
        <f t="shared" si="35"/>
        <v>31</v>
      </c>
      <c r="L94" s="195">
        <f t="shared" si="35"/>
        <v>31</v>
      </c>
      <c r="M94" s="190"/>
      <c r="N94" s="196"/>
      <c r="O94" s="197"/>
      <c r="P94" s="198" t="str">
        <f t="shared" si="33"/>
        <v/>
      </c>
      <c r="R94" s="63"/>
      <c r="S94" s="63"/>
      <c r="T94" s="63"/>
      <c r="U94" s="63"/>
      <c r="V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</row>
    <row r="95" spans="2:34" x14ac:dyDescent="0.35">
      <c r="B95" s="190"/>
      <c r="C95" s="190"/>
      <c r="D95" s="190"/>
      <c r="E95" s="191" t="str">
        <f t="shared" si="34"/>
        <v>--</v>
      </c>
      <c r="F95" s="192"/>
      <c r="G95" s="190"/>
      <c r="H95" s="193"/>
      <c r="I95" s="193"/>
      <c r="J95" s="193"/>
      <c r="K95" s="195">
        <f t="shared" si="35"/>
        <v>31</v>
      </c>
      <c r="L95" s="195">
        <f t="shared" si="35"/>
        <v>31</v>
      </c>
      <c r="M95" s="190"/>
      <c r="N95" s="196"/>
      <c r="O95" s="197"/>
      <c r="P95" s="198" t="str">
        <f t="shared" si="33"/>
        <v/>
      </c>
      <c r="R95" s="63"/>
      <c r="S95" s="63"/>
      <c r="T95" s="63"/>
      <c r="U95" s="63"/>
      <c r="V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</row>
    <row r="96" spans="2:34" x14ac:dyDescent="0.35">
      <c r="B96" s="190"/>
      <c r="C96" s="190"/>
      <c r="D96" s="190"/>
      <c r="E96" s="191" t="str">
        <f t="shared" si="34"/>
        <v>--</v>
      </c>
      <c r="F96" s="192"/>
      <c r="G96" s="190"/>
      <c r="H96" s="193"/>
      <c r="I96" s="193"/>
      <c r="J96" s="193"/>
      <c r="K96" s="195">
        <f t="shared" si="35"/>
        <v>31</v>
      </c>
      <c r="L96" s="195">
        <f t="shared" si="35"/>
        <v>31</v>
      </c>
      <c r="M96" s="190"/>
      <c r="N96" s="196"/>
      <c r="O96" s="197"/>
      <c r="P96" s="198" t="str">
        <f t="shared" si="33"/>
        <v/>
      </c>
      <c r="R96" s="63"/>
      <c r="S96" s="63"/>
      <c r="T96" s="63"/>
      <c r="U96" s="63"/>
      <c r="V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</row>
    <row r="97" spans="2:34" x14ac:dyDescent="0.35">
      <c r="B97" s="190"/>
      <c r="C97" s="190"/>
      <c r="D97" s="190"/>
      <c r="E97" s="191" t="str">
        <f t="shared" si="34"/>
        <v>--</v>
      </c>
      <c r="F97" s="192"/>
      <c r="G97" s="190"/>
      <c r="H97" s="193"/>
      <c r="I97" s="193"/>
      <c r="J97" s="193"/>
      <c r="K97" s="195">
        <f t="shared" si="35"/>
        <v>31</v>
      </c>
      <c r="L97" s="195">
        <f t="shared" si="35"/>
        <v>31</v>
      </c>
      <c r="M97" s="190"/>
      <c r="N97" s="196"/>
      <c r="O97" s="197"/>
      <c r="P97" s="198" t="str">
        <f t="shared" si="33"/>
        <v/>
      </c>
      <c r="R97" s="63"/>
      <c r="S97" s="63"/>
      <c r="T97" s="63"/>
      <c r="U97" s="63"/>
      <c r="V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</row>
    <row r="98" spans="2:34" x14ac:dyDescent="0.35">
      <c r="B98" s="190"/>
      <c r="C98" s="190"/>
      <c r="D98" s="190"/>
      <c r="E98" s="191" t="str">
        <f t="shared" si="34"/>
        <v>--</v>
      </c>
      <c r="F98" s="192"/>
      <c r="G98" s="190"/>
      <c r="H98" s="193"/>
      <c r="I98" s="193"/>
      <c r="J98" s="193"/>
      <c r="K98" s="195">
        <f t="shared" si="35"/>
        <v>31</v>
      </c>
      <c r="L98" s="195">
        <f t="shared" si="35"/>
        <v>31</v>
      </c>
      <c r="M98" s="190"/>
      <c r="N98" s="196"/>
      <c r="O98" s="197"/>
      <c r="P98" s="198" t="str">
        <f t="shared" si="33"/>
        <v/>
      </c>
      <c r="R98" s="63"/>
      <c r="S98" s="63"/>
      <c r="T98" s="63"/>
      <c r="U98" s="63"/>
      <c r="V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</row>
    <row r="99" spans="2:34" x14ac:dyDescent="0.35">
      <c r="B99" s="190"/>
      <c r="C99" s="190"/>
      <c r="D99" s="190"/>
      <c r="E99" s="191" t="str">
        <f t="shared" si="34"/>
        <v>--</v>
      </c>
      <c r="F99" s="192"/>
      <c r="G99" s="190"/>
      <c r="H99" s="193"/>
      <c r="I99" s="193"/>
      <c r="J99" s="193"/>
      <c r="K99" s="195">
        <f t="shared" si="35"/>
        <v>31</v>
      </c>
      <c r="L99" s="195">
        <f t="shared" si="35"/>
        <v>31</v>
      </c>
      <c r="M99" s="190"/>
      <c r="N99" s="196"/>
      <c r="O99" s="197"/>
      <c r="P99" s="198" t="str">
        <f t="shared" si="33"/>
        <v/>
      </c>
      <c r="R99" s="63"/>
      <c r="S99" s="63"/>
      <c r="T99" s="63"/>
      <c r="U99" s="63"/>
      <c r="V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</row>
    <row r="100" spans="2:34" x14ac:dyDescent="0.35">
      <c r="B100" s="190"/>
      <c r="C100" s="190"/>
      <c r="D100" s="190"/>
      <c r="E100" s="191" t="str">
        <f t="shared" si="34"/>
        <v>--</v>
      </c>
      <c r="F100" s="192"/>
      <c r="G100" s="190"/>
      <c r="H100" s="193"/>
      <c r="I100" s="193"/>
      <c r="J100" s="193"/>
      <c r="K100" s="195">
        <f t="shared" si="35"/>
        <v>31</v>
      </c>
      <c r="L100" s="195">
        <f t="shared" si="35"/>
        <v>31</v>
      </c>
      <c r="M100" s="190"/>
      <c r="N100" s="196"/>
      <c r="O100" s="197"/>
      <c r="P100" s="198" t="str">
        <f t="shared" si="33"/>
        <v/>
      </c>
      <c r="R100" s="63"/>
      <c r="S100" s="63"/>
      <c r="T100" s="63"/>
      <c r="U100" s="63"/>
      <c r="V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</row>
    <row r="101" spans="2:34" x14ac:dyDescent="0.35">
      <c r="B101" s="190"/>
      <c r="C101" s="190"/>
      <c r="D101" s="190"/>
      <c r="E101" s="191" t="str">
        <f t="shared" si="34"/>
        <v>--</v>
      </c>
      <c r="F101" s="192"/>
      <c r="G101" s="190"/>
      <c r="H101" s="193"/>
      <c r="I101" s="193"/>
      <c r="J101" s="193"/>
      <c r="K101" s="195">
        <f t="shared" si="35"/>
        <v>31</v>
      </c>
      <c r="L101" s="195">
        <f t="shared" si="35"/>
        <v>31</v>
      </c>
      <c r="M101" s="190"/>
      <c r="N101" s="196"/>
      <c r="O101" s="197"/>
      <c r="P101" s="198" t="str">
        <f t="shared" si="33"/>
        <v/>
      </c>
      <c r="R101" s="63"/>
      <c r="S101" s="63"/>
      <c r="T101" s="63"/>
      <c r="U101" s="63"/>
      <c r="V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</row>
    <row r="102" spans="2:34" x14ac:dyDescent="0.35">
      <c r="B102" s="190"/>
      <c r="C102" s="190"/>
      <c r="D102" s="190"/>
      <c r="E102" s="191" t="str">
        <f t="shared" si="34"/>
        <v>--</v>
      </c>
      <c r="F102" s="192"/>
      <c r="G102" s="190"/>
      <c r="H102" s="193"/>
      <c r="I102" s="193"/>
      <c r="J102" s="193"/>
      <c r="K102" s="195">
        <f t="shared" si="35"/>
        <v>31</v>
      </c>
      <c r="L102" s="195">
        <f t="shared" si="35"/>
        <v>31</v>
      </c>
      <c r="M102" s="190"/>
      <c r="N102" s="196"/>
      <c r="O102" s="197"/>
      <c r="P102" s="198" t="str">
        <f t="shared" si="33"/>
        <v/>
      </c>
      <c r="R102" s="63"/>
      <c r="S102" s="63"/>
      <c r="T102" s="63"/>
      <c r="U102" s="63"/>
      <c r="V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</row>
    <row r="103" spans="2:34" x14ac:dyDescent="0.35">
      <c r="B103" s="190"/>
      <c r="C103" s="190"/>
      <c r="D103" s="190"/>
      <c r="E103" s="191" t="str">
        <f t="shared" si="34"/>
        <v>--</v>
      </c>
      <c r="F103" s="192"/>
      <c r="G103" s="190"/>
      <c r="H103" s="193"/>
      <c r="I103" s="193"/>
      <c r="J103" s="193"/>
      <c r="K103" s="195">
        <f t="shared" si="35"/>
        <v>31</v>
      </c>
      <c r="L103" s="195">
        <f t="shared" si="35"/>
        <v>31</v>
      </c>
      <c r="M103" s="190"/>
      <c r="N103" s="196"/>
      <c r="O103" s="197"/>
      <c r="P103" s="198" t="str">
        <f t="shared" si="33"/>
        <v/>
      </c>
      <c r="R103" s="63"/>
      <c r="S103" s="63"/>
      <c r="T103" s="63"/>
      <c r="U103" s="63"/>
      <c r="V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</row>
    <row r="104" spans="2:34" x14ac:dyDescent="0.35">
      <c r="B104" s="190"/>
      <c r="C104" s="190"/>
      <c r="D104" s="190"/>
      <c r="E104" s="191" t="str">
        <f t="shared" si="34"/>
        <v>--</v>
      </c>
      <c r="F104" s="192"/>
      <c r="G104" s="190"/>
      <c r="H104" s="193"/>
      <c r="I104" s="193"/>
      <c r="J104" s="193"/>
      <c r="K104" s="195">
        <f t="shared" si="35"/>
        <v>31</v>
      </c>
      <c r="L104" s="195">
        <f t="shared" si="35"/>
        <v>31</v>
      </c>
      <c r="M104" s="190"/>
      <c r="N104" s="196"/>
      <c r="O104" s="197"/>
      <c r="P104" s="198" t="str">
        <f t="shared" si="33"/>
        <v/>
      </c>
      <c r="R104" s="63"/>
      <c r="S104" s="63"/>
      <c r="T104" s="63"/>
      <c r="U104" s="63"/>
      <c r="V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</row>
    <row r="105" spans="2:34" x14ac:dyDescent="0.35">
      <c r="B105" s="190"/>
      <c r="C105" s="190"/>
      <c r="D105" s="190"/>
      <c r="E105" s="191" t="str">
        <f t="shared" si="34"/>
        <v>--</v>
      </c>
      <c r="F105" s="192"/>
      <c r="G105" s="190"/>
      <c r="H105" s="193"/>
      <c r="I105" s="193"/>
      <c r="J105" s="193"/>
      <c r="K105" s="195">
        <f t="shared" si="35"/>
        <v>31</v>
      </c>
      <c r="L105" s="195">
        <f t="shared" si="35"/>
        <v>31</v>
      </c>
      <c r="M105" s="190"/>
      <c r="N105" s="196"/>
      <c r="O105" s="197"/>
      <c r="P105" s="198" t="str">
        <f t="shared" si="33"/>
        <v/>
      </c>
      <c r="R105" s="63"/>
      <c r="S105" s="63"/>
      <c r="T105" s="63"/>
      <c r="U105" s="63"/>
      <c r="V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</row>
    <row r="106" spans="2:34" x14ac:dyDescent="0.35">
      <c r="B106" s="190"/>
      <c r="C106" s="190"/>
      <c r="D106" s="190"/>
      <c r="E106" s="191" t="str">
        <f t="shared" si="34"/>
        <v>--</v>
      </c>
      <c r="F106" s="192"/>
      <c r="G106" s="190"/>
      <c r="H106" s="193"/>
      <c r="I106" s="193"/>
      <c r="J106" s="193"/>
      <c r="K106" s="195">
        <f t="shared" si="35"/>
        <v>31</v>
      </c>
      <c r="L106" s="195">
        <f t="shared" si="35"/>
        <v>31</v>
      </c>
      <c r="M106" s="190"/>
      <c r="N106" s="196"/>
      <c r="O106" s="197"/>
      <c r="P106" s="198" t="str">
        <f t="shared" si="33"/>
        <v/>
      </c>
      <c r="R106" s="63"/>
      <c r="S106" s="63"/>
      <c r="T106" s="63"/>
      <c r="U106" s="63"/>
      <c r="V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</row>
    <row r="107" spans="2:34" x14ac:dyDescent="0.35">
      <c r="B107" s="190"/>
      <c r="C107" s="190"/>
      <c r="D107" s="190"/>
      <c r="E107" s="191" t="str">
        <f t="shared" si="34"/>
        <v>--</v>
      </c>
      <c r="F107" s="192"/>
      <c r="G107" s="190"/>
      <c r="H107" s="193"/>
      <c r="I107" s="193"/>
      <c r="J107" s="193"/>
      <c r="K107" s="195">
        <f t="shared" si="35"/>
        <v>31</v>
      </c>
      <c r="L107" s="195">
        <f t="shared" si="35"/>
        <v>31</v>
      </c>
      <c r="M107" s="190"/>
      <c r="N107" s="196"/>
      <c r="O107" s="197"/>
      <c r="P107" s="198" t="str">
        <f t="shared" si="33"/>
        <v/>
      </c>
      <c r="R107" s="63"/>
      <c r="S107" s="63"/>
      <c r="T107" s="63"/>
      <c r="U107" s="63"/>
      <c r="V107" s="63"/>
    </row>
    <row r="108" spans="2:34" x14ac:dyDescent="0.35">
      <c r="B108" s="190"/>
      <c r="C108" s="190"/>
      <c r="D108" s="190"/>
      <c r="E108" s="191" t="str">
        <f t="shared" si="34"/>
        <v>--</v>
      </c>
      <c r="F108" s="192"/>
      <c r="G108" s="190"/>
      <c r="H108" s="193"/>
      <c r="I108" s="193"/>
      <c r="J108" s="193"/>
      <c r="K108" s="195">
        <f t="shared" si="35"/>
        <v>31</v>
      </c>
      <c r="L108" s="195">
        <f t="shared" si="35"/>
        <v>31</v>
      </c>
      <c r="M108" s="190"/>
      <c r="N108" s="196"/>
      <c r="O108" s="197"/>
      <c r="P108" s="198" t="str">
        <f t="shared" si="33"/>
        <v/>
      </c>
    </row>
    <row r="109" spans="2:34" x14ac:dyDescent="0.35">
      <c r="B109" s="190"/>
      <c r="C109" s="190"/>
      <c r="D109" s="190"/>
      <c r="E109" s="191" t="str">
        <f t="shared" si="34"/>
        <v>--</v>
      </c>
      <c r="F109" s="192"/>
      <c r="G109" s="190"/>
      <c r="H109" s="193"/>
      <c r="I109" s="193"/>
      <c r="J109" s="193"/>
      <c r="K109" s="195">
        <f t="shared" si="35"/>
        <v>31</v>
      </c>
      <c r="L109" s="195">
        <f t="shared" si="35"/>
        <v>31</v>
      </c>
      <c r="M109" s="190"/>
      <c r="N109" s="196"/>
      <c r="O109" s="197"/>
      <c r="P109" s="198" t="str">
        <f t="shared" si="33"/>
        <v/>
      </c>
    </row>
    <row r="110" spans="2:34" x14ac:dyDescent="0.35">
      <c r="B110" s="190"/>
      <c r="C110" s="190"/>
      <c r="D110" s="190"/>
      <c r="E110" s="191" t="str">
        <f t="shared" si="34"/>
        <v>--</v>
      </c>
      <c r="F110" s="192"/>
      <c r="G110" s="190"/>
      <c r="H110" s="193"/>
      <c r="I110" s="193"/>
      <c r="J110" s="193"/>
      <c r="K110" s="195">
        <f t="shared" si="35"/>
        <v>31</v>
      </c>
      <c r="L110" s="195">
        <f t="shared" si="35"/>
        <v>31</v>
      </c>
      <c r="M110" s="190"/>
      <c r="N110" s="196"/>
      <c r="O110" s="197"/>
      <c r="P110" s="198" t="str">
        <f t="shared" si="33"/>
        <v/>
      </c>
    </row>
    <row r="111" spans="2:34" x14ac:dyDescent="0.35">
      <c r="B111" s="190"/>
      <c r="C111" s="190"/>
      <c r="D111" s="190"/>
      <c r="E111" s="191" t="str">
        <f t="shared" si="34"/>
        <v>--</v>
      </c>
      <c r="F111" s="192"/>
      <c r="G111" s="190"/>
      <c r="H111" s="193"/>
      <c r="I111" s="193"/>
      <c r="J111" s="193"/>
      <c r="K111" s="195">
        <f t="shared" si="35"/>
        <v>31</v>
      </c>
      <c r="L111" s="195">
        <f t="shared" si="35"/>
        <v>31</v>
      </c>
      <c r="M111" s="190"/>
      <c r="N111" s="196"/>
      <c r="O111" s="197"/>
      <c r="P111" s="198" t="str">
        <f t="shared" si="33"/>
        <v/>
      </c>
    </row>
    <row r="112" spans="2:34" x14ac:dyDescent="0.35">
      <c r="B112" s="190"/>
      <c r="C112" s="190"/>
      <c r="D112" s="190"/>
      <c r="E112" s="191" t="str">
        <f t="shared" si="34"/>
        <v>--</v>
      </c>
      <c r="F112" s="192"/>
      <c r="G112" s="190"/>
      <c r="H112" s="193"/>
      <c r="I112" s="193"/>
      <c r="J112" s="193"/>
      <c r="K112" s="195">
        <f t="shared" si="35"/>
        <v>31</v>
      </c>
      <c r="L112" s="195">
        <f t="shared" si="35"/>
        <v>31</v>
      </c>
      <c r="M112" s="190"/>
      <c r="N112" s="196"/>
      <c r="O112" s="197"/>
      <c r="P112" s="198" t="str">
        <f t="shared" si="33"/>
        <v/>
      </c>
    </row>
    <row r="113" spans="2:16" x14ac:dyDescent="0.35">
      <c r="B113" s="190"/>
      <c r="C113" s="190"/>
      <c r="D113" s="190"/>
      <c r="E113" s="191" t="str">
        <f t="shared" si="34"/>
        <v>--</v>
      </c>
      <c r="F113" s="192"/>
      <c r="G113" s="190"/>
      <c r="H113" s="193"/>
      <c r="I113" s="193"/>
      <c r="J113" s="193"/>
      <c r="K113" s="195">
        <f t="shared" si="35"/>
        <v>31</v>
      </c>
      <c r="L113" s="195">
        <f t="shared" si="35"/>
        <v>31</v>
      </c>
      <c r="M113" s="190"/>
      <c r="N113" s="196"/>
      <c r="O113" s="197"/>
      <c r="P113" s="198" t="str">
        <f t="shared" si="33"/>
        <v/>
      </c>
    </row>
    <row r="114" spans="2:16" x14ac:dyDescent="0.35">
      <c r="B114" s="190"/>
      <c r="C114" s="190"/>
      <c r="D114" s="190"/>
      <c r="E114" s="191" t="str">
        <f t="shared" si="34"/>
        <v>--</v>
      </c>
      <c r="F114" s="192"/>
      <c r="G114" s="190"/>
      <c r="H114" s="193"/>
      <c r="I114" s="193"/>
      <c r="J114" s="193"/>
      <c r="K114" s="195">
        <f t="shared" si="35"/>
        <v>31</v>
      </c>
      <c r="L114" s="195">
        <f t="shared" si="35"/>
        <v>31</v>
      </c>
      <c r="M114" s="190"/>
      <c r="N114" s="196"/>
      <c r="O114" s="197"/>
      <c r="P114" s="198" t="str">
        <f t="shared" si="33"/>
        <v/>
      </c>
    </row>
    <row r="115" spans="2:16" x14ac:dyDescent="0.35">
      <c r="B115" s="190"/>
      <c r="C115" s="190"/>
      <c r="D115" s="190"/>
      <c r="E115" s="191" t="str">
        <f t="shared" si="34"/>
        <v>--</v>
      </c>
      <c r="F115" s="192"/>
      <c r="G115" s="190"/>
      <c r="H115" s="193"/>
      <c r="I115" s="193"/>
      <c r="J115" s="193"/>
      <c r="K115" s="195">
        <f t="shared" si="35"/>
        <v>31</v>
      </c>
      <c r="L115" s="195">
        <f t="shared" si="35"/>
        <v>31</v>
      </c>
      <c r="M115" s="190"/>
      <c r="N115" s="196"/>
      <c r="O115" s="197"/>
      <c r="P115" s="198" t="str">
        <f t="shared" si="33"/>
        <v/>
      </c>
    </row>
    <row r="116" spans="2:16" x14ac:dyDescent="0.35">
      <c r="B116" s="190"/>
      <c r="C116" s="190"/>
      <c r="D116" s="190"/>
      <c r="E116" s="191" t="str">
        <f t="shared" si="34"/>
        <v>--</v>
      </c>
      <c r="F116" s="192"/>
      <c r="G116" s="190"/>
      <c r="H116" s="193"/>
      <c r="I116" s="193"/>
      <c r="J116" s="193"/>
      <c r="K116" s="195">
        <f t="shared" si="35"/>
        <v>31</v>
      </c>
      <c r="L116" s="195">
        <f t="shared" si="35"/>
        <v>31</v>
      </c>
      <c r="M116" s="190"/>
      <c r="N116" s="196"/>
      <c r="O116" s="197"/>
      <c r="P116" s="198" t="str">
        <f t="shared" si="33"/>
        <v/>
      </c>
    </row>
    <row r="117" spans="2:16" x14ac:dyDescent="0.35">
      <c r="B117" s="190"/>
      <c r="C117" s="190"/>
      <c r="D117" s="190"/>
      <c r="E117" s="191" t="str">
        <f t="shared" si="34"/>
        <v>--</v>
      </c>
      <c r="F117" s="192"/>
      <c r="G117" s="190"/>
      <c r="H117" s="193"/>
      <c r="I117" s="193"/>
      <c r="J117" s="193"/>
      <c r="K117" s="195">
        <f t="shared" si="35"/>
        <v>31</v>
      </c>
      <c r="L117" s="195">
        <f t="shared" si="35"/>
        <v>31</v>
      </c>
      <c r="M117" s="190"/>
      <c r="N117" s="196"/>
      <c r="O117" s="197"/>
      <c r="P117" s="198" t="str">
        <f t="shared" si="33"/>
        <v/>
      </c>
    </row>
    <row r="118" spans="2:16" x14ac:dyDescent="0.35">
      <c r="B118" s="190"/>
      <c r="C118" s="190"/>
      <c r="D118" s="190"/>
      <c r="E118" s="191" t="str">
        <f t="shared" si="34"/>
        <v>--</v>
      </c>
      <c r="F118" s="192"/>
      <c r="G118" s="190"/>
      <c r="H118" s="193"/>
      <c r="I118" s="193"/>
      <c r="J118" s="193"/>
      <c r="K118" s="195">
        <f t="shared" si="35"/>
        <v>31</v>
      </c>
      <c r="L118" s="195">
        <f t="shared" si="35"/>
        <v>31</v>
      </c>
      <c r="M118" s="190"/>
      <c r="N118" s="196"/>
      <c r="O118" s="197"/>
      <c r="P118" s="198" t="str">
        <f t="shared" si="33"/>
        <v/>
      </c>
    </row>
    <row r="119" spans="2:16" x14ac:dyDescent="0.35">
      <c r="B119" s="190"/>
      <c r="C119" s="190"/>
      <c r="D119" s="190"/>
      <c r="E119" s="191" t="str">
        <f t="shared" si="34"/>
        <v>--</v>
      </c>
      <c r="F119" s="192"/>
      <c r="G119" s="190"/>
      <c r="H119" s="193"/>
      <c r="I119" s="193"/>
      <c r="J119" s="193"/>
      <c r="K119" s="195">
        <f t="shared" si="35"/>
        <v>31</v>
      </c>
      <c r="L119" s="195">
        <f t="shared" si="35"/>
        <v>31</v>
      </c>
      <c r="M119" s="190"/>
      <c r="N119" s="196"/>
      <c r="O119" s="197"/>
      <c r="P119" s="198" t="str">
        <f t="shared" si="33"/>
        <v/>
      </c>
    </row>
    <row r="120" spans="2:16" x14ac:dyDescent="0.35">
      <c r="B120" s="190"/>
      <c r="C120" s="190"/>
      <c r="D120" s="190"/>
      <c r="E120" s="191" t="str">
        <f t="shared" si="34"/>
        <v>--</v>
      </c>
      <c r="F120" s="192"/>
      <c r="G120" s="190"/>
      <c r="H120" s="193"/>
      <c r="I120" s="193"/>
      <c r="J120" s="193"/>
      <c r="K120" s="195">
        <f t="shared" si="35"/>
        <v>31</v>
      </c>
      <c r="L120" s="195">
        <f t="shared" si="35"/>
        <v>31</v>
      </c>
      <c r="M120" s="190"/>
      <c r="N120" s="196"/>
      <c r="O120" s="197"/>
      <c r="P120" s="198" t="str">
        <f t="shared" si="33"/>
        <v/>
      </c>
    </row>
    <row r="121" spans="2:16" x14ac:dyDescent="0.35">
      <c r="B121" s="190"/>
      <c r="C121" s="190"/>
      <c r="D121" s="190"/>
      <c r="E121" s="191" t="str">
        <f t="shared" si="34"/>
        <v>--</v>
      </c>
      <c r="F121" s="192"/>
      <c r="G121" s="190"/>
      <c r="H121" s="193"/>
      <c r="I121" s="193"/>
      <c r="J121" s="193"/>
      <c r="K121" s="195">
        <f t="shared" si="35"/>
        <v>31</v>
      </c>
      <c r="L121" s="195">
        <f t="shared" si="35"/>
        <v>31</v>
      </c>
      <c r="M121" s="190"/>
      <c r="N121" s="196"/>
      <c r="O121" s="197"/>
      <c r="P121" s="198" t="str">
        <f t="shared" si="33"/>
        <v/>
      </c>
    </row>
    <row r="122" spans="2:16" x14ac:dyDescent="0.35">
      <c r="B122" s="190"/>
      <c r="C122" s="190"/>
      <c r="D122" s="190"/>
      <c r="E122" s="191" t="str">
        <f t="shared" si="34"/>
        <v>--</v>
      </c>
      <c r="F122" s="192"/>
      <c r="G122" s="190"/>
      <c r="H122" s="193"/>
      <c r="I122" s="193"/>
      <c r="J122" s="193"/>
      <c r="K122" s="195">
        <f t="shared" si="35"/>
        <v>31</v>
      </c>
      <c r="L122" s="195">
        <f t="shared" si="35"/>
        <v>31</v>
      </c>
      <c r="M122" s="190"/>
      <c r="N122" s="196"/>
      <c r="O122" s="197"/>
      <c r="P122" s="198" t="str">
        <f t="shared" si="33"/>
        <v/>
      </c>
    </row>
    <row r="123" spans="2:16" x14ac:dyDescent="0.35">
      <c r="B123" s="190"/>
      <c r="C123" s="190"/>
      <c r="D123" s="190"/>
      <c r="E123" s="191" t="str">
        <f t="shared" si="34"/>
        <v>--</v>
      </c>
      <c r="F123" s="192"/>
      <c r="G123" s="190"/>
      <c r="H123" s="193"/>
      <c r="I123" s="193"/>
      <c r="J123" s="193"/>
      <c r="K123" s="195">
        <f t="shared" si="35"/>
        <v>31</v>
      </c>
      <c r="L123" s="195">
        <f t="shared" si="35"/>
        <v>31</v>
      </c>
      <c r="M123" s="190"/>
      <c r="N123" s="196"/>
      <c r="O123" s="197"/>
      <c r="P123" s="198" t="str">
        <f t="shared" si="33"/>
        <v/>
      </c>
    </row>
    <row r="124" spans="2:16" x14ac:dyDescent="0.35">
      <c r="B124" s="190"/>
      <c r="C124" s="190"/>
      <c r="D124" s="190"/>
      <c r="E124" s="191" t="str">
        <f t="shared" si="34"/>
        <v>--</v>
      </c>
      <c r="F124" s="192"/>
      <c r="G124" s="190"/>
      <c r="H124" s="193"/>
      <c r="I124" s="193"/>
      <c r="J124" s="193"/>
      <c r="K124" s="195">
        <f t="shared" si="35"/>
        <v>31</v>
      </c>
      <c r="L124" s="195">
        <f t="shared" si="35"/>
        <v>31</v>
      </c>
      <c r="M124" s="190"/>
      <c r="N124" s="196"/>
      <c r="O124" s="197"/>
      <c r="P124" s="198" t="str">
        <f t="shared" si="33"/>
        <v/>
      </c>
    </row>
    <row r="125" spans="2:16" x14ac:dyDescent="0.35">
      <c r="B125" s="190"/>
      <c r="C125" s="190"/>
      <c r="D125" s="190"/>
      <c r="E125" s="191" t="str">
        <f t="shared" si="34"/>
        <v>--</v>
      </c>
      <c r="F125" s="192"/>
      <c r="G125" s="190"/>
      <c r="H125" s="193"/>
      <c r="I125" s="193"/>
      <c r="J125" s="193"/>
      <c r="K125" s="195">
        <f t="shared" si="35"/>
        <v>31</v>
      </c>
      <c r="L125" s="195">
        <f t="shared" si="35"/>
        <v>31</v>
      </c>
      <c r="M125" s="190"/>
      <c r="N125" s="196"/>
      <c r="O125" s="197"/>
      <c r="P125" s="198" t="str">
        <f t="shared" si="33"/>
        <v/>
      </c>
    </row>
    <row r="126" spans="2:16" x14ac:dyDescent="0.35">
      <c r="B126" s="190"/>
      <c r="C126" s="190"/>
      <c r="D126" s="190"/>
      <c r="E126" s="191" t="str">
        <f t="shared" si="34"/>
        <v>--</v>
      </c>
      <c r="F126" s="192"/>
      <c r="G126" s="190"/>
      <c r="H126" s="193"/>
      <c r="I126" s="193"/>
      <c r="J126" s="193"/>
      <c r="K126" s="195">
        <f t="shared" si="35"/>
        <v>31</v>
      </c>
      <c r="L126" s="195">
        <f t="shared" si="35"/>
        <v>31</v>
      </c>
      <c r="M126" s="190"/>
      <c r="N126" s="196"/>
      <c r="O126" s="197"/>
      <c r="P126" s="198" t="str">
        <f t="shared" si="33"/>
        <v/>
      </c>
    </row>
    <row r="127" spans="2:16" x14ac:dyDescent="0.35">
      <c r="B127" s="190"/>
      <c r="C127" s="190"/>
      <c r="D127" s="190"/>
      <c r="E127" s="191" t="str">
        <f t="shared" si="34"/>
        <v>--</v>
      </c>
      <c r="F127" s="192"/>
      <c r="G127" s="190"/>
      <c r="H127" s="193"/>
      <c r="I127" s="193"/>
      <c r="J127" s="193"/>
      <c r="K127" s="195">
        <f t="shared" si="35"/>
        <v>31</v>
      </c>
      <c r="L127" s="195">
        <f t="shared" si="35"/>
        <v>31</v>
      </c>
      <c r="M127" s="190"/>
      <c r="N127" s="196"/>
      <c r="O127" s="197"/>
      <c r="P127" s="198" t="str">
        <f t="shared" si="33"/>
        <v/>
      </c>
    </row>
    <row r="128" spans="2:16" x14ac:dyDescent="0.35">
      <c r="B128" s="190"/>
      <c r="C128" s="190"/>
      <c r="D128" s="190"/>
      <c r="E128" s="191" t="str">
        <f t="shared" si="34"/>
        <v>--</v>
      </c>
      <c r="F128" s="192"/>
      <c r="G128" s="190"/>
      <c r="H128" s="193"/>
      <c r="I128" s="193"/>
      <c r="J128" s="193"/>
      <c r="K128" s="195">
        <f t="shared" si="35"/>
        <v>31</v>
      </c>
      <c r="L128" s="195">
        <f t="shared" si="35"/>
        <v>31</v>
      </c>
      <c r="M128" s="190"/>
      <c r="N128" s="196"/>
      <c r="O128" s="197"/>
      <c r="P128" s="198" t="str">
        <f t="shared" si="33"/>
        <v/>
      </c>
    </row>
    <row r="129" spans="2:16" x14ac:dyDescent="0.35">
      <c r="B129" s="190"/>
      <c r="C129" s="190"/>
      <c r="D129" s="190"/>
      <c r="E129" s="191" t="str">
        <f t="shared" si="34"/>
        <v>--</v>
      </c>
      <c r="F129" s="192"/>
      <c r="G129" s="190"/>
      <c r="H129" s="193"/>
      <c r="I129" s="193"/>
      <c r="J129" s="193"/>
      <c r="K129" s="195">
        <f t="shared" ref="K129:L144" si="36">EOMONTH(I129,0)</f>
        <v>31</v>
      </c>
      <c r="L129" s="195">
        <f t="shared" si="36"/>
        <v>31</v>
      </c>
      <c r="M129" s="190"/>
      <c r="N129" s="196"/>
      <c r="O129" s="197"/>
      <c r="P129" s="198" t="str">
        <f t="shared" si="33"/>
        <v/>
      </c>
    </row>
    <row r="130" spans="2:16" x14ac:dyDescent="0.35">
      <c r="B130" s="190"/>
      <c r="C130" s="190"/>
      <c r="D130" s="190"/>
      <c r="E130" s="191" t="str">
        <f t="shared" si="34"/>
        <v>--</v>
      </c>
      <c r="F130" s="192"/>
      <c r="G130" s="190"/>
      <c r="H130" s="193"/>
      <c r="I130" s="193"/>
      <c r="J130" s="193"/>
      <c r="K130" s="195">
        <f t="shared" si="36"/>
        <v>31</v>
      </c>
      <c r="L130" s="195">
        <f t="shared" si="36"/>
        <v>31</v>
      </c>
      <c r="M130" s="190"/>
      <c r="N130" s="196"/>
      <c r="O130" s="197"/>
      <c r="P130" s="198" t="str">
        <f t="shared" si="33"/>
        <v/>
      </c>
    </row>
    <row r="131" spans="2:16" x14ac:dyDescent="0.35">
      <c r="B131" s="190"/>
      <c r="C131" s="190"/>
      <c r="D131" s="190"/>
      <c r="E131" s="191" t="str">
        <f t="shared" si="34"/>
        <v>--</v>
      </c>
      <c r="F131" s="192"/>
      <c r="G131" s="190"/>
      <c r="H131" s="193"/>
      <c r="I131" s="193"/>
      <c r="J131" s="193"/>
      <c r="K131" s="195">
        <f t="shared" si="36"/>
        <v>31</v>
      </c>
      <c r="L131" s="195">
        <f t="shared" si="36"/>
        <v>31</v>
      </c>
      <c r="M131" s="190"/>
      <c r="N131" s="196"/>
      <c r="O131" s="197"/>
      <c r="P131" s="198" t="str">
        <f t="shared" si="33"/>
        <v/>
      </c>
    </row>
    <row r="132" spans="2:16" x14ac:dyDescent="0.35">
      <c r="B132" s="190"/>
      <c r="C132" s="190"/>
      <c r="D132" s="190"/>
      <c r="E132" s="191" t="str">
        <f t="shared" si="34"/>
        <v>--</v>
      </c>
      <c r="F132" s="192"/>
      <c r="G132" s="190"/>
      <c r="H132" s="193"/>
      <c r="I132" s="193"/>
      <c r="J132" s="193"/>
      <c r="K132" s="195">
        <f t="shared" si="36"/>
        <v>31</v>
      </c>
      <c r="L132" s="195">
        <f t="shared" si="36"/>
        <v>31</v>
      </c>
      <c r="M132" s="190"/>
      <c r="N132" s="196"/>
      <c r="O132" s="197"/>
      <c r="P132" s="198" t="str">
        <f t="shared" si="33"/>
        <v/>
      </c>
    </row>
    <row r="133" spans="2:16" x14ac:dyDescent="0.35">
      <c r="B133" s="190"/>
      <c r="C133" s="190"/>
      <c r="D133" s="190"/>
      <c r="E133" s="191" t="str">
        <f t="shared" si="34"/>
        <v>--</v>
      </c>
      <c r="F133" s="192"/>
      <c r="G133" s="190"/>
      <c r="H133" s="193"/>
      <c r="I133" s="193"/>
      <c r="J133" s="193"/>
      <c r="K133" s="195">
        <f t="shared" si="36"/>
        <v>31</v>
      </c>
      <c r="L133" s="195">
        <f t="shared" si="36"/>
        <v>31</v>
      </c>
      <c r="M133" s="190"/>
      <c r="N133" s="196"/>
      <c r="O133" s="197"/>
      <c r="P133" s="198" t="str">
        <f t="shared" si="33"/>
        <v/>
      </c>
    </row>
    <row r="134" spans="2:16" x14ac:dyDescent="0.35">
      <c r="B134" s="190"/>
      <c r="C134" s="190"/>
      <c r="D134" s="190"/>
      <c r="E134" s="191" t="str">
        <f t="shared" si="34"/>
        <v>--</v>
      </c>
      <c r="F134" s="192"/>
      <c r="G134" s="190"/>
      <c r="H134" s="193"/>
      <c r="I134" s="193"/>
      <c r="J134" s="194"/>
      <c r="K134" s="195">
        <f t="shared" si="36"/>
        <v>31</v>
      </c>
      <c r="L134" s="195">
        <f t="shared" si="36"/>
        <v>31</v>
      </c>
      <c r="M134" s="190"/>
      <c r="N134" s="196"/>
      <c r="O134" s="197"/>
      <c r="P134" s="198" t="str">
        <f t="shared" si="33"/>
        <v/>
      </c>
    </row>
    <row r="135" spans="2:16" x14ac:dyDescent="0.35">
      <c r="B135" s="190"/>
      <c r="C135" s="190"/>
      <c r="D135" s="190"/>
      <c r="E135" s="191" t="str">
        <f t="shared" si="34"/>
        <v>--</v>
      </c>
      <c r="F135" s="192"/>
      <c r="G135" s="190"/>
      <c r="H135" s="193"/>
      <c r="I135" s="193"/>
      <c r="J135" s="194"/>
      <c r="K135" s="195">
        <f t="shared" si="36"/>
        <v>31</v>
      </c>
      <c r="L135" s="195">
        <f t="shared" si="36"/>
        <v>31</v>
      </c>
      <c r="M135" s="190"/>
      <c r="N135" s="196"/>
      <c r="O135" s="197"/>
      <c r="P135" s="198" t="str">
        <f t="shared" si="33"/>
        <v/>
      </c>
    </row>
    <row r="136" spans="2:16" x14ac:dyDescent="0.35">
      <c r="B136" s="190"/>
      <c r="C136" s="190"/>
      <c r="D136" s="190"/>
      <c r="E136" s="191" t="str">
        <f t="shared" si="34"/>
        <v>--</v>
      </c>
      <c r="F136" s="192"/>
      <c r="G136" s="190"/>
      <c r="H136" s="193"/>
      <c r="I136" s="193"/>
      <c r="J136" s="194"/>
      <c r="K136" s="195">
        <f t="shared" si="36"/>
        <v>31</v>
      </c>
      <c r="L136" s="195">
        <f t="shared" si="36"/>
        <v>31</v>
      </c>
      <c r="M136" s="190"/>
      <c r="N136" s="196"/>
      <c r="O136" s="197"/>
      <c r="P136" s="198" t="str">
        <f t="shared" ref="P136:P199" si="37">IF(H136="","",IF(($C$5-H136)/365&gt;1.5,"Renewed Lease","New Lease"))</f>
        <v/>
      </c>
    </row>
    <row r="137" spans="2:16" x14ac:dyDescent="0.35">
      <c r="B137" s="190"/>
      <c r="C137" s="190"/>
      <c r="D137" s="190"/>
      <c r="E137" s="191" t="str">
        <f t="shared" ref="E137:E200" si="38">F137&amp;"-"&amp;D137&amp;"-"&amp;C137</f>
        <v>--</v>
      </c>
      <c r="F137" s="192"/>
      <c r="G137" s="190"/>
      <c r="H137" s="193"/>
      <c r="I137" s="193"/>
      <c r="J137" s="194"/>
      <c r="K137" s="195">
        <f t="shared" si="36"/>
        <v>31</v>
      </c>
      <c r="L137" s="195">
        <f t="shared" si="36"/>
        <v>31</v>
      </c>
      <c r="M137" s="190"/>
      <c r="N137" s="196"/>
      <c r="O137" s="197"/>
      <c r="P137" s="198" t="str">
        <f t="shared" si="37"/>
        <v/>
      </c>
    </row>
    <row r="138" spans="2:16" x14ac:dyDescent="0.35">
      <c r="B138" s="190"/>
      <c r="C138" s="190"/>
      <c r="D138" s="190"/>
      <c r="E138" s="191" t="str">
        <f t="shared" si="38"/>
        <v>--</v>
      </c>
      <c r="F138" s="192"/>
      <c r="G138" s="190"/>
      <c r="H138" s="193"/>
      <c r="I138" s="193"/>
      <c r="J138" s="194"/>
      <c r="K138" s="195">
        <f t="shared" si="36"/>
        <v>31</v>
      </c>
      <c r="L138" s="195">
        <f t="shared" si="36"/>
        <v>31</v>
      </c>
      <c r="M138" s="190"/>
      <c r="N138" s="196"/>
      <c r="O138" s="197"/>
      <c r="P138" s="198" t="str">
        <f t="shared" si="37"/>
        <v/>
      </c>
    </row>
    <row r="139" spans="2:16" x14ac:dyDescent="0.35">
      <c r="B139" s="190"/>
      <c r="C139" s="190"/>
      <c r="D139" s="190"/>
      <c r="E139" s="191" t="str">
        <f t="shared" si="38"/>
        <v>--</v>
      </c>
      <c r="F139" s="192"/>
      <c r="G139" s="190"/>
      <c r="H139" s="193"/>
      <c r="I139" s="193"/>
      <c r="J139" s="194"/>
      <c r="K139" s="195">
        <f t="shared" si="36"/>
        <v>31</v>
      </c>
      <c r="L139" s="195">
        <f t="shared" si="36"/>
        <v>31</v>
      </c>
      <c r="M139" s="190"/>
      <c r="N139" s="196"/>
      <c r="O139" s="197"/>
      <c r="P139" s="198" t="str">
        <f t="shared" si="37"/>
        <v/>
      </c>
    </row>
    <row r="140" spans="2:16" x14ac:dyDescent="0.35">
      <c r="B140" s="190"/>
      <c r="C140" s="190"/>
      <c r="D140" s="190"/>
      <c r="E140" s="191" t="str">
        <f t="shared" si="38"/>
        <v>--</v>
      </c>
      <c r="F140" s="192"/>
      <c r="G140" s="190"/>
      <c r="H140" s="193"/>
      <c r="I140" s="193"/>
      <c r="J140" s="194"/>
      <c r="K140" s="195">
        <f t="shared" si="36"/>
        <v>31</v>
      </c>
      <c r="L140" s="195">
        <f t="shared" si="36"/>
        <v>31</v>
      </c>
      <c r="M140" s="190"/>
      <c r="N140" s="196"/>
      <c r="O140" s="197"/>
      <c r="P140" s="198" t="str">
        <f t="shared" si="37"/>
        <v/>
      </c>
    </row>
    <row r="141" spans="2:16" x14ac:dyDescent="0.35">
      <c r="B141" s="190"/>
      <c r="C141" s="190"/>
      <c r="D141" s="190"/>
      <c r="E141" s="191" t="str">
        <f t="shared" si="38"/>
        <v>--</v>
      </c>
      <c r="F141" s="192"/>
      <c r="G141" s="190"/>
      <c r="H141" s="193"/>
      <c r="I141" s="193"/>
      <c r="J141" s="194"/>
      <c r="K141" s="195">
        <f t="shared" si="36"/>
        <v>31</v>
      </c>
      <c r="L141" s="195">
        <f t="shared" si="36"/>
        <v>31</v>
      </c>
      <c r="M141" s="190"/>
      <c r="N141" s="196"/>
      <c r="O141" s="197"/>
      <c r="P141" s="198" t="str">
        <f t="shared" si="37"/>
        <v/>
      </c>
    </row>
    <row r="142" spans="2:16" x14ac:dyDescent="0.35">
      <c r="B142" s="190"/>
      <c r="C142" s="190"/>
      <c r="D142" s="190"/>
      <c r="E142" s="191" t="str">
        <f t="shared" si="38"/>
        <v>--</v>
      </c>
      <c r="F142" s="192"/>
      <c r="G142" s="190"/>
      <c r="H142" s="193"/>
      <c r="I142" s="193"/>
      <c r="J142" s="194"/>
      <c r="K142" s="195">
        <f t="shared" si="36"/>
        <v>31</v>
      </c>
      <c r="L142" s="195">
        <f t="shared" si="36"/>
        <v>31</v>
      </c>
      <c r="M142" s="190"/>
      <c r="N142" s="196"/>
      <c r="O142" s="197"/>
      <c r="P142" s="198" t="str">
        <f t="shared" si="37"/>
        <v/>
      </c>
    </row>
    <row r="143" spans="2:16" x14ac:dyDescent="0.35">
      <c r="B143" s="190"/>
      <c r="C143" s="190"/>
      <c r="D143" s="190"/>
      <c r="E143" s="191" t="str">
        <f t="shared" si="38"/>
        <v>--</v>
      </c>
      <c r="F143" s="192"/>
      <c r="G143" s="190"/>
      <c r="H143" s="193"/>
      <c r="I143" s="193"/>
      <c r="J143" s="194"/>
      <c r="K143" s="195">
        <f t="shared" si="36"/>
        <v>31</v>
      </c>
      <c r="L143" s="195">
        <f t="shared" si="36"/>
        <v>31</v>
      </c>
      <c r="M143" s="190"/>
      <c r="N143" s="196"/>
      <c r="O143" s="197"/>
      <c r="P143" s="198" t="str">
        <f t="shared" si="37"/>
        <v/>
      </c>
    </row>
    <row r="144" spans="2:16" x14ac:dyDescent="0.35">
      <c r="B144" s="190"/>
      <c r="C144" s="190"/>
      <c r="D144" s="190"/>
      <c r="E144" s="191" t="str">
        <f t="shared" si="38"/>
        <v>--</v>
      </c>
      <c r="F144" s="192"/>
      <c r="G144" s="190"/>
      <c r="H144" s="193"/>
      <c r="I144" s="193"/>
      <c r="J144" s="194"/>
      <c r="K144" s="195">
        <f t="shared" si="36"/>
        <v>31</v>
      </c>
      <c r="L144" s="195">
        <f t="shared" si="36"/>
        <v>31</v>
      </c>
      <c r="M144" s="190"/>
      <c r="N144" s="196"/>
      <c r="O144" s="197"/>
      <c r="P144" s="198" t="str">
        <f t="shared" si="37"/>
        <v/>
      </c>
    </row>
    <row r="145" spans="2:16" x14ac:dyDescent="0.35">
      <c r="B145" s="190"/>
      <c r="C145" s="190"/>
      <c r="D145" s="190"/>
      <c r="E145" s="191" t="str">
        <f t="shared" si="38"/>
        <v>--</v>
      </c>
      <c r="F145" s="192"/>
      <c r="G145" s="190"/>
      <c r="H145" s="193"/>
      <c r="I145" s="193"/>
      <c r="J145" s="194"/>
      <c r="K145" s="195">
        <f t="shared" ref="K145:L208" si="39">EOMONTH(I145,0)</f>
        <v>31</v>
      </c>
      <c r="L145" s="195">
        <f t="shared" si="39"/>
        <v>31</v>
      </c>
      <c r="M145" s="190"/>
      <c r="N145" s="196"/>
      <c r="O145" s="197"/>
      <c r="P145" s="198" t="str">
        <f t="shared" si="37"/>
        <v/>
      </c>
    </row>
    <row r="146" spans="2:16" x14ac:dyDescent="0.35">
      <c r="B146" s="190"/>
      <c r="C146" s="190"/>
      <c r="D146" s="190"/>
      <c r="E146" s="191" t="str">
        <f t="shared" si="38"/>
        <v>--</v>
      </c>
      <c r="F146" s="192"/>
      <c r="G146" s="190"/>
      <c r="H146" s="193"/>
      <c r="I146" s="193"/>
      <c r="J146" s="194"/>
      <c r="K146" s="195">
        <f t="shared" si="39"/>
        <v>31</v>
      </c>
      <c r="L146" s="195">
        <f t="shared" si="39"/>
        <v>31</v>
      </c>
      <c r="M146" s="190"/>
      <c r="N146" s="196"/>
      <c r="O146" s="197"/>
      <c r="P146" s="198" t="str">
        <f t="shared" si="37"/>
        <v/>
      </c>
    </row>
    <row r="147" spans="2:16" x14ac:dyDescent="0.35">
      <c r="B147" s="190"/>
      <c r="C147" s="190"/>
      <c r="D147" s="190"/>
      <c r="E147" s="191" t="str">
        <f t="shared" si="38"/>
        <v>--</v>
      </c>
      <c r="F147" s="192"/>
      <c r="G147" s="190"/>
      <c r="H147" s="193"/>
      <c r="I147" s="193"/>
      <c r="J147" s="194"/>
      <c r="K147" s="195">
        <f t="shared" si="39"/>
        <v>31</v>
      </c>
      <c r="L147" s="195">
        <f t="shared" si="39"/>
        <v>31</v>
      </c>
      <c r="M147" s="190"/>
      <c r="N147" s="196"/>
      <c r="O147" s="197"/>
      <c r="P147" s="198" t="str">
        <f t="shared" si="37"/>
        <v/>
      </c>
    </row>
    <row r="148" spans="2:16" x14ac:dyDescent="0.35">
      <c r="B148" s="190"/>
      <c r="C148" s="190"/>
      <c r="D148" s="190"/>
      <c r="E148" s="191" t="str">
        <f t="shared" si="38"/>
        <v>--</v>
      </c>
      <c r="F148" s="192"/>
      <c r="G148" s="190"/>
      <c r="H148" s="193"/>
      <c r="I148" s="193"/>
      <c r="J148" s="194"/>
      <c r="K148" s="195">
        <f t="shared" si="39"/>
        <v>31</v>
      </c>
      <c r="L148" s="195">
        <f t="shared" si="39"/>
        <v>31</v>
      </c>
      <c r="M148" s="190"/>
      <c r="N148" s="196"/>
      <c r="O148" s="197"/>
      <c r="P148" s="198" t="str">
        <f t="shared" si="37"/>
        <v/>
      </c>
    </row>
    <row r="149" spans="2:16" x14ac:dyDescent="0.35">
      <c r="B149" s="190"/>
      <c r="C149" s="190"/>
      <c r="D149" s="190"/>
      <c r="E149" s="191" t="str">
        <f t="shared" si="38"/>
        <v>--</v>
      </c>
      <c r="F149" s="192"/>
      <c r="G149" s="190"/>
      <c r="H149" s="193"/>
      <c r="I149" s="193"/>
      <c r="J149" s="194"/>
      <c r="K149" s="195">
        <f t="shared" si="39"/>
        <v>31</v>
      </c>
      <c r="L149" s="195">
        <f t="shared" si="39"/>
        <v>31</v>
      </c>
      <c r="M149" s="190"/>
      <c r="N149" s="196"/>
      <c r="O149" s="197"/>
      <c r="P149" s="198" t="str">
        <f t="shared" si="37"/>
        <v/>
      </c>
    </row>
    <row r="150" spans="2:16" x14ac:dyDescent="0.35">
      <c r="B150" s="190"/>
      <c r="C150" s="190"/>
      <c r="D150" s="190"/>
      <c r="E150" s="191" t="str">
        <f t="shared" si="38"/>
        <v>--</v>
      </c>
      <c r="F150" s="192"/>
      <c r="G150" s="190"/>
      <c r="H150" s="193"/>
      <c r="I150" s="193"/>
      <c r="J150" s="194"/>
      <c r="K150" s="195">
        <f t="shared" si="39"/>
        <v>31</v>
      </c>
      <c r="L150" s="195">
        <f t="shared" si="39"/>
        <v>31</v>
      </c>
      <c r="M150" s="190"/>
      <c r="N150" s="196"/>
      <c r="O150" s="197"/>
      <c r="P150" s="198" t="str">
        <f t="shared" si="37"/>
        <v/>
      </c>
    </row>
    <row r="151" spans="2:16" x14ac:dyDescent="0.35">
      <c r="B151" s="190"/>
      <c r="C151" s="190"/>
      <c r="D151" s="190"/>
      <c r="E151" s="191" t="str">
        <f t="shared" si="38"/>
        <v>--</v>
      </c>
      <c r="F151" s="192"/>
      <c r="G151" s="190"/>
      <c r="H151" s="193"/>
      <c r="I151" s="193"/>
      <c r="J151" s="194"/>
      <c r="K151" s="195">
        <f t="shared" si="39"/>
        <v>31</v>
      </c>
      <c r="L151" s="195">
        <f t="shared" si="39"/>
        <v>31</v>
      </c>
      <c r="M151" s="190"/>
      <c r="N151" s="196"/>
      <c r="O151" s="197"/>
      <c r="P151" s="198" t="str">
        <f t="shared" si="37"/>
        <v/>
      </c>
    </row>
    <row r="152" spans="2:16" x14ac:dyDescent="0.35">
      <c r="B152" s="190"/>
      <c r="C152" s="190"/>
      <c r="D152" s="190"/>
      <c r="E152" s="191" t="str">
        <f t="shared" si="38"/>
        <v>--</v>
      </c>
      <c r="F152" s="192"/>
      <c r="G152" s="197"/>
      <c r="H152" s="193"/>
      <c r="I152" s="193"/>
      <c r="J152" s="194"/>
      <c r="K152" s="195">
        <f t="shared" si="39"/>
        <v>31</v>
      </c>
      <c r="L152" s="195">
        <f t="shared" si="39"/>
        <v>31</v>
      </c>
      <c r="M152" s="190"/>
      <c r="N152" s="196"/>
      <c r="O152" s="197"/>
      <c r="P152" s="198" t="str">
        <f t="shared" si="37"/>
        <v/>
      </c>
    </row>
    <row r="153" spans="2:16" x14ac:dyDescent="0.35">
      <c r="B153" s="190"/>
      <c r="C153" s="190"/>
      <c r="D153" s="190"/>
      <c r="E153" s="191" t="str">
        <f t="shared" si="38"/>
        <v>--</v>
      </c>
      <c r="F153" s="192"/>
      <c r="G153" s="197"/>
      <c r="H153" s="193"/>
      <c r="I153" s="193"/>
      <c r="J153" s="194"/>
      <c r="K153" s="195">
        <f t="shared" si="39"/>
        <v>31</v>
      </c>
      <c r="L153" s="195">
        <f t="shared" si="39"/>
        <v>31</v>
      </c>
      <c r="M153" s="190"/>
      <c r="N153" s="196"/>
      <c r="O153" s="197"/>
      <c r="P153" s="198" t="str">
        <f t="shared" si="37"/>
        <v/>
      </c>
    </row>
    <row r="154" spans="2:16" x14ac:dyDescent="0.35">
      <c r="B154" s="190"/>
      <c r="C154" s="190"/>
      <c r="D154" s="190"/>
      <c r="E154" s="191" t="str">
        <f t="shared" si="38"/>
        <v>--</v>
      </c>
      <c r="F154" s="192"/>
      <c r="G154" s="197"/>
      <c r="H154" s="193"/>
      <c r="I154" s="193"/>
      <c r="J154" s="194"/>
      <c r="K154" s="195">
        <f t="shared" si="39"/>
        <v>31</v>
      </c>
      <c r="L154" s="195">
        <f t="shared" si="39"/>
        <v>31</v>
      </c>
      <c r="M154" s="190"/>
      <c r="N154" s="196"/>
      <c r="O154" s="197"/>
      <c r="P154" s="198" t="str">
        <f t="shared" si="37"/>
        <v/>
      </c>
    </row>
    <row r="155" spans="2:16" x14ac:dyDescent="0.35">
      <c r="B155" s="190"/>
      <c r="C155" s="190"/>
      <c r="D155" s="190"/>
      <c r="E155" s="191" t="str">
        <f t="shared" si="38"/>
        <v>--</v>
      </c>
      <c r="F155" s="192"/>
      <c r="G155" s="197"/>
      <c r="H155" s="193"/>
      <c r="I155" s="193"/>
      <c r="J155" s="194"/>
      <c r="K155" s="195">
        <f t="shared" si="39"/>
        <v>31</v>
      </c>
      <c r="L155" s="195">
        <f t="shared" si="39"/>
        <v>31</v>
      </c>
      <c r="M155" s="190"/>
      <c r="N155" s="196"/>
      <c r="O155" s="197"/>
      <c r="P155" s="198" t="str">
        <f t="shared" si="37"/>
        <v/>
      </c>
    </row>
    <row r="156" spans="2:16" x14ac:dyDescent="0.35">
      <c r="B156" s="190"/>
      <c r="C156" s="190"/>
      <c r="D156" s="190"/>
      <c r="E156" s="191" t="str">
        <f t="shared" si="38"/>
        <v>--</v>
      </c>
      <c r="F156" s="192"/>
      <c r="G156" s="197"/>
      <c r="H156" s="193"/>
      <c r="I156" s="193"/>
      <c r="J156" s="194"/>
      <c r="K156" s="195">
        <f t="shared" si="39"/>
        <v>31</v>
      </c>
      <c r="L156" s="195">
        <f t="shared" si="39"/>
        <v>31</v>
      </c>
      <c r="M156" s="190"/>
      <c r="N156" s="196"/>
      <c r="O156" s="197"/>
      <c r="P156" s="198" t="str">
        <f t="shared" si="37"/>
        <v/>
      </c>
    </row>
    <row r="157" spans="2:16" x14ac:dyDescent="0.35">
      <c r="B157" s="190"/>
      <c r="C157" s="190"/>
      <c r="D157" s="190"/>
      <c r="E157" s="191" t="str">
        <f t="shared" si="38"/>
        <v>--</v>
      </c>
      <c r="F157" s="192"/>
      <c r="G157" s="197"/>
      <c r="H157" s="193"/>
      <c r="I157" s="193"/>
      <c r="J157" s="194"/>
      <c r="K157" s="195">
        <f t="shared" si="39"/>
        <v>31</v>
      </c>
      <c r="L157" s="195">
        <f t="shared" si="39"/>
        <v>31</v>
      </c>
      <c r="M157" s="190"/>
      <c r="N157" s="196"/>
      <c r="O157" s="197"/>
      <c r="P157" s="198" t="str">
        <f t="shared" si="37"/>
        <v/>
      </c>
    </row>
    <row r="158" spans="2:16" x14ac:dyDescent="0.35">
      <c r="B158" s="190"/>
      <c r="C158" s="190"/>
      <c r="D158" s="190"/>
      <c r="E158" s="191" t="str">
        <f t="shared" si="38"/>
        <v>--</v>
      </c>
      <c r="F158" s="192"/>
      <c r="G158" s="197"/>
      <c r="H158" s="193"/>
      <c r="I158" s="193"/>
      <c r="J158" s="194"/>
      <c r="K158" s="195">
        <f t="shared" si="39"/>
        <v>31</v>
      </c>
      <c r="L158" s="195">
        <f t="shared" si="39"/>
        <v>31</v>
      </c>
      <c r="M158" s="190"/>
      <c r="N158" s="196"/>
      <c r="O158" s="197"/>
      <c r="P158" s="198" t="str">
        <f t="shared" si="37"/>
        <v/>
      </c>
    </row>
    <row r="159" spans="2:16" x14ac:dyDescent="0.35">
      <c r="B159" s="190"/>
      <c r="C159" s="190"/>
      <c r="D159" s="190"/>
      <c r="E159" s="191" t="str">
        <f t="shared" si="38"/>
        <v>--</v>
      </c>
      <c r="F159" s="192"/>
      <c r="G159" s="197"/>
      <c r="H159" s="193"/>
      <c r="I159" s="193"/>
      <c r="J159" s="194"/>
      <c r="K159" s="195">
        <f t="shared" si="39"/>
        <v>31</v>
      </c>
      <c r="L159" s="195">
        <f t="shared" si="39"/>
        <v>31</v>
      </c>
      <c r="M159" s="190"/>
      <c r="N159" s="196"/>
      <c r="O159" s="197"/>
      <c r="P159" s="198" t="str">
        <f t="shared" si="37"/>
        <v/>
      </c>
    </row>
    <row r="160" spans="2:16" x14ac:dyDescent="0.35">
      <c r="B160" s="190"/>
      <c r="C160" s="190"/>
      <c r="D160" s="190"/>
      <c r="E160" s="191" t="str">
        <f t="shared" si="38"/>
        <v>--</v>
      </c>
      <c r="F160" s="192"/>
      <c r="G160" s="197"/>
      <c r="H160" s="193"/>
      <c r="I160" s="193"/>
      <c r="J160" s="194"/>
      <c r="K160" s="195">
        <f t="shared" si="39"/>
        <v>31</v>
      </c>
      <c r="L160" s="195">
        <f t="shared" si="39"/>
        <v>31</v>
      </c>
      <c r="M160" s="190"/>
      <c r="N160" s="196"/>
      <c r="O160" s="197"/>
      <c r="P160" s="198" t="str">
        <f t="shared" si="37"/>
        <v/>
      </c>
    </row>
    <row r="161" spans="2:16" x14ac:dyDescent="0.35">
      <c r="B161" s="190"/>
      <c r="C161" s="190"/>
      <c r="D161" s="190"/>
      <c r="E161" s="191" t="str">
        <f t="shared" si="38"/>
        <v>--</v>
      </c>
      <c r="F161" s="192"/>
      <c r="G161" s="197"/>
      <c r="H161" s="193"/>
      <c r="I161" s="193"/>
      <c r="J161" s="194"/>
      <c r="K161" s="195">
        <f t="shared" si="39"/>
        <v>31</v>
      </c>
      <c r="L161" s="195">
        <f t="shared" si="39"/>
        <v>31</v>
      </c>
      <c r="M161" s="190"/>
      <c r="N161" s="196"/>
      <c r="O161" s="197"/>
      <c r="P161" s="198" t="str">
        <f t="shared" si="37"/>
        <v/>
      </c>
    </row>
    <row r="162" spans="2:16" x14ac:dyDescent="0.35">
      <c r="B162" s="190"/>
      <c r="C162" s="190"/>
      <c r="D162" s="190"/>
      <c r="E162" s="191" t="str">
        <f t="shared" si="38"/>
        <v>--</v>
      </c>
      <c r="F162" s="192"/>
      <c r="G162" s="197"/>
      <c r="H162" s="193"/>
      <c r="I162" s="193"/>
      <c r="J162" s="194"/>
      <c r="K162" s="195">
        <f t="shared" si="39"/>
        <v>31</v>
      </c>
      <c r="L162" s="195">
        <f t="shared" si="39"/>
        <v>31</v>
      </c>
      <c r="M162" s="190"/>
      <c r="N162" s="196"/>
      <c r="O162" s="197"/>
      <c r="P162" s="198" t="str">
        <f t="shared" si="37"/>
        <v/>
      </c>
    </row>
    <row r="163" spans="2:16" x14ac:dyDescent="0.35">
      <c r="B163" s="190"/>
      <c r="C163" s="190"/>
      <c r="D163" s="190"/>
      <c r="E163" s="191" t="str">
        <f t="shared" si="38"/>
        <v>--</v>
      </c>
      <c r="F163" s="192"/>
      <c r="G163" s="197"/>
      <c r="H163" s="193"/>
      <c r="I163" s="193"/>
      <c r="J163" s="194"/>
      <c r="K163" s="195">
        <f t="shared" si="39"/>
        <v>31</v>
      </c>
      <c r="L163" s="195">
        <f t="shared" si="39"/>
        <v>31</v>
      </c>
      <c r="M163" s="190"/>
      <c r="N163" s="196"/>
      <c r="O163" s="197"/>
      <c r="P163" s="198" t="str">
        <f t="shared" si="37"/>
        <v/>
      </c>
    </row>
    <row r="164" spans="2:16" x14ac:dyDescent="0.35">
      <c r="B164" s="190"/>
      <c r="C164" s="190"/>
      <c r="D164" s="190"/>
      <c r="E164" s="191" t="str">
        <f t="shared" si="38"/>
        <v>--</v>
      </c>
      <c r="F164" s="192"/>
      <c r="G164" s="197"/>
      <c r="H164" s="193"/>
      <c r="I164" s="193"/>
      <c r="J164" s="194"/>
      <c r="K164" s="195">
        <f t="shared" si="39"/>
        <v>31</v>
      </c>
      <c r="L164" s="195">
        <f t="shared" si="39"/>
        <v>31</v>
      </c>
      <c r="M164" s="190"/>
      <c r="N164" s="196"/>
      <c r="O164" s="197"/>
      <c r="P164" s="198" t="str">
        <f t="shared" si="37"/>
        <v/>
      </c>
    </row>
    <row r="165" spans="2:16" x14ac:dyDescent="0.35">
      <c r="B165" s="190"/>
      <c r="C165" s="190"/>
      <c r="D165" s="190"/>
      <c r="E165" s="191" t="str">
        <f t="shared" si="38"/>
        <v>--</v>
      </c>
      <c r="F165" s="192"/>
      <c r="G165" s="197"/>
      <c r="H165" s="193"/>
      <c r="I165" s="193"/>
      <c r="J165" s="194"/>
      <c r="K165" s="195">
        <f t="shared" si="39"/>
        <v>31</v>
      </c>
      <c r="L165" s="195">
        <f t="shared" si="39"/>
        <v>31</v>
      </c>
      <c r="M165" s="190"/>
      <c r="N165" s="196"/>
      <c r="O165" s="197"/>
      <c r="P165" s="198" t="str">
        <f t="shared" si="37"/>
        <v/>
      </c>
    </row>
    <row r="166" spans="2:16" x14ac:dyDescent="0.35">
      <c r="B166" s="190"/>
      <c r="C166" s="190"/>
      <c r="D166" s="190"/>
      <c r="E166" s="191" t="str">
        <f t="shared" si="38"/>
        <v>--</v>
      </c>
      <c r="F166" s="192"/>
      <c r="G166" s="197"/>
      <c r="H166" s="193"/>
      <c r="I166" s="193"/>
      <c r="J166" s="194"/>
      <c r="K166" s="195">
        <f t="shared" si="39"/>
        <v>31</v>
      </c>
      <c r="L166" s="195">
        <f t="shared" si="39"/>
        <v>31</v>
      </c>
      <c r="M166" s="190"/>
      <c r="N166" s="196"/>
      <c r="O166" s="197"/>
      <c r="P166" s="198" t="str">
        <f t="shared" si="37"/>
        <v/>
      </c>
    </row>
    <row r="167" spans="2:16" x14ac:dyDescent="0.35">
      <c r="B167" s="190"/>
      <c r="C167" s="190"/>
      <c r="D167" s="190"/>
      <c r="E167" s="191" t="str">
        <f t="shared" si="38"/>
        <v>--</v>
      </c>
      <c r="F167" s="192"/>
      <c r="G167" s="197"/>
      <c r="H167" s="193"/>
      <c r="I167" s="193"/>
      <c r="J167" s="194"/>
      <c r="K167" s="195">
        <f t="shared" si="39"/>
        <v>31</v>
      </c>
      <c r="L167" s="195">
        <f t="shared" si="39"/>
        <v>31</v>
      </c>
      <c r="M167" s="190"/>
      <c r="N167" s="196"/>
      <c r="O167" s="197"/>
      <c r="P167" s="198" t="str">
        <f t="shared" si="37"/>
        <v/>
      </c>
    </row>
    <row r="168" spans="2:16" x14ac:dyDescent="0.35">
      <c r="B168" s="190"/>
      <c r="C168" s="190"/>
      <c r="D168" s="190"/>
      <c r="E168" s="191" t="str">
        <f t="shared" si="38"/>
        <v>--</v>
      </c>
      <c r="F168" s="192"/>
      <c r="G168" s="197"/>
      <c r="H168" s="193"/>
      <c r="I168" s="193"/>
      <c r="J168" s="194"/>
      <c r="K168" s="195">
        <f t="shared" si="39"/>
        <v>31</v>
      </c>
      <c r="L168" s="195">
        <f t="shared" si="39"/>
        <v>31</v>
      </c>
      <c r="M168" s="190"/>
      <c r="N168" s="196"/>
      <c r="O168" s="197"/>
      <c r="P168" s="198" t="str">
        <f t="shared" si="37"/>
        <v/>
      </c>
    </row>
    <row r="169" spans="2:16" x14ac:dyDescent="0.35">
      <c r="B169" s="190"/>
      <c r="C169" s="190"/>
      <c r="D169" s="190"/>
      <c r="E169" s="191" t="str">
        <f t="shared" si="38"/>
        <v>--</v>
      </c>
      <c r="F169" s="192"/>
      <c r="G169" s="197"/>
      <c r="H169" s="193"/>
      <c r="I169" s="193"/>
      <c r="J169" s="194"/>
      <c r="K169" s="195">
        <f t="shared" si="39"/>
        <v>31</v>
      </c>
      <c r="L169" s="195">
        <f t="shared" si="39"/>
        <v>31</v>
      </c>
      <c r="M169" s="190"/>
      <c r="N169" s="196"/>
      <c r="O169" s="197"/>
      <c r="P169" s="198" t="str">
        <f t="shared" si="37"/>
        <v/>
      </c>
    </row>
    <row r="170" spans="2:16" x14ac:dyDescent="0.35">
      <c r="B170" s="190"/>
      <c r="C170" s="190"/>
      <c r="D170" s="190"/>
      <c r="E170" s="191" t="str">
        <f t="shared" si="38"/>
        <v>--</v>
      </c>
      <c r="F170" s="192"/>
      <c r="G170" s="197"/>
      <c r="H170" s="193"/>
      <c r="I170" s="193"/>
      <c r="J170" s="194"/>
      <c r="K170" s="195">
        <f t="shared" si="39"/>
        <v>31</v>
      </c>
      <c r="L170" s="195">
        <f t="shared" si="39"/>
        <v>31</v>
      </c>
      <c r="M170" s="190"/>
      <c r="N170" s="196"/>
      <c r="O170" s="197"/>
      <c r="P170" s="198" t="str">
        <f t="shared" si="37"/>
        <v/>
      </c>
    </row>
    <row r="171" spans="2:16" x14ac:dyDescent="0.35">
      <c r="B171" s="190"/>
      <c r="C171" s="190"/>
      <c r="D171" s="190"/>
      <c r="E171" s="191" t="str">
        <f t="shared" si="38"/>
        <v>--</v>
      </c>
      <c r="F171" s="192"/>
      <c r="G171" s="197"/>
      <c r="H171" s="193"/>
      <c r="I171" s="193"/>
      <c r="J171" s="194"/>
      <c r="K171" s="195">
        <f t="shared" si="39"/>
        <v>31</v>
      </c>
      <c r="L171" s="195">
        <f t="shared" si="39"/>
        <v>31</v>
      </c>
      <c r="M171" s="190"/>
      <c r="N171" s="196"/>
      <c r="O171" s="197"/>
      <c r="P171" s="198" t="str">
        <f t="shared" si="37"/>
        <v/>
      </c>
    </row>
    <row r="172" spans="2:16" x14ac:dyDescent="0.35">
      <c r="B172" s="190"/>
      <c r="C172" s="190"/>
      <c r="D172" s="190"/>
      <c r="E172" s="191" t="str">
        <f t="shared" si="38"/>
        <v>--</v>
      </c>
      <c r="F172" s="192"/>
      <c r="G172" s="197"/>
      <c r="H172" s="193"/>
      <c r="I172" s="193"/>
      <c r="J172" s="194"/>
      <c r="K172" s="195">
        <f t="shared" si="39"/>
        <v>31</v>
      </c>
      <c r="L172" s="195">
        <f t="shared" si="39"/>
        <v>31</v>
      </c>
      <c r="M172" s="190"/>
      <c r="N172" s="196"/>
      <c r="O172" s="197"/>
      <c r="P172" s="198" t="str">
        <f t="shared" si="37"/>
        <v/>
      </c>
    </row>
    <row r="173" spans="2:16" x14ac:dyDescent="0.35">
      <c r="B173" s="190"/>
      <c r="C173" s="190"/>
      <c r="D173" s="190"/>
      <c r="E173" s="191" t="str">
        <f t="shared" si="38"/>
        <v>--</v>
      </c>
      <c r="F173" s="192"/>
      <c r="G173" s="197"/>
      <c r="H173" s="193"/>
      <c r="I173" s="193"/>
      <c r="J173" s="194"/>
      <c r="K173" s="195">
        <f t="shared" si="39"/>
        <v>31</v>
      </c>
      <c r="L173" s="195">
        <f t="shared" si="39"/>
        <v>31</v>
      </c>
      <c r="M173" s="190"/>
      <c r="N173" s="196"/>
      <c r="O173" s="197"/>
      <c r="P173" s="198" t="str">
        <f t="shared" si="37"/>
        <v/>
      </c>
    </row>
    <row r="174" spans="2:16" x14ac:dyDescent="0.35">
      <c r="B174" s="190"/>
      <c r="C174" s="190"/>
      <c r="D174" s="190"/>
      <c r="E174" s="191" t="str">
        <f t="shared" si="38"/>
        <v>--</v>
      </c>
      <c r="F174" s="192"/>
      <c r="G174" s="197"/>
      <c r="H174" s="193"/>
      <c r="I174" s="193"/>
      <c r="J174" s="194"/>
      <c r="K174" s="195">
        <f t="shared" si="39"/>
        <v>31</v>
      </c>
      <c r="L174" s="195">
        <f t="shared" si="39"/>
        <v>31</v>
      </c>
      <c r="M174" s="190"/>
      <c r="N174" s="196"/>
      <c r="O174" s="197"/>
      <c r="P174" s="198" t="str">
        <f t="shared" si="37"/>
        <v/>
      </c>
    </row>
    <row r="175" spans="2:16" x14ac:dyDescent="0.35">
      <c r="B175" s="190"/>
      <c r="C175" s="190"/>
      <c r="D175" s="190"/>
      <c r="E175" s="191" t="str">
        <f t="shared" si="38"/>
        <v>--</v>
      </c>
      <c r="F175" s="192"/>
      <c r="G175" s="197"/>
      <c r="H175" s="193"/>
      <c r="I175" s="193"/>
      <c r="J175" s="194"/>
      <c r="K175" s="195">
        <f t="shared" si="39"/>
        <v>31</v>
      </c>
      <c r="L175" s="195">
        <f t="shared" si="39"/>
        <v>31</v>
      </c>
      <c r="M175" s="190"/>
      <c r="N175" s="196"/>
      <c r="O175" s="197"/>
      <c r="P175" s="198" t="str">
        <f t="shared" si="37"/>
        <v/>
      </c>
    </row>
    <row r="176" spans="2:16" x14ac:dyDescent="0.35">
      <c r="B176" s="190"/>
      <c r="C176" s="190"/>
      <c r="D176" s="190"/>
      <c r="E176" s="191" t="str">
        <f t="shared" si="38"/>
        <v>--</v>
      </c>
      <c r="F176" s="192"/>
      <c r="G176" s="197"/>
      <c r="H176" s="193"/>
      <c r="I176" s="193"/>
      <c r="J176" s="194"/>
      <c r="K176" s="195">
        <f t="shared" si="39"/>
        <v>31</v>
      </c>
      <c r="L176" s="195">
        <f t="shared" si="39"/>
        <v>31</v>
      </c>
      <c r="M176" s="190"/>
      <c r="N176" s="196"/>
      <c r="O176" s="197"/>
      <c r="P176" s="198" t="str">
        <f t="shared" si="37"/>
        <v/>
      </c>
    </row>
    <row r="177" spans="2:16" x14ac:dyDescent="0.35">
      <c r="B177" s="190"/>
      <c r="C177" s="190"/>
      <c r="D177" s="190"/>
      <c r="E177" s="191" t="str">
        <f t="shared" si="38"/>
        <v>--</v>
      </c>
      <c r="F177" s="192"/>
      <c r="G177" s="197"/>
      <c r="H177" s="193"/>
      <c r="I177" s="193"/>
      <c r="J177" s="194"/>
      <c r="K177" s="195">
        <f t="shared" si="39"/>
        <v>31</v>
      </c>
      <c r="L177" s="195">
        <f t="shared" si="39"/>
        <v>31</v>
      </c>
      <c r="M177" s="190"/>
      <c r="N177" s="196"/>
      <c r="O177" s="197"/>
      <c r="P177" s="198" t="str">
        <f t="shared" si="37"/>
        <v/>
      </c>
    </row>
    <row r="178" spans="2:16" x14ac:dyDescent="0.35">
      <c r="B178" s="190"/>
      <c r="C178" s="190"/>
      <c r="D178" s="190"/>
      <c r="E178" s="191" t="str">
        <f t="shared" si="38"/>
        <v>--</v>
      </c>
      <c r="F178" s="192"/>
      <c r="G178" s="197"/>
      <c r="H178" s="193"/>
      <c r="I178" s="193"/>
      <c r="J178" s="194"/>
      <c r="K178" s="195">
        <f t="shared" si="39"/>
        <v>31</v>
      </c>
      <c r="L178" s="195">
        <f t="shared" si="39"/>
        <v>31</v>
      </c>
      <c r="M178" s="190"/>
      <c r="N178" s="196"/>
      <c r="O178" s="197"/>
      <c r="P178" s="198" t="str">
        <f t="shared" si="37"/>
        <v/>
      </c>
    </row>
    <row r="179" spans="2:16" x14ac:dyDescent="0.35">
      <c r="B179" s="190"/>
      <c r="C179" s="190"/>
      <c r="D179" s="190"/>
      <c r="E179" s="191" t="str">
        <f t="shared" si="38"/>
        <v>--</v>
      </c>
      <c r="F179" s="192"/>
      <c r="G179" s="197"/>
      <c r="H179" s="193"/>
      <c r="I179" s="193"/>
      <c r="J179" s="194"/>
      <c r="K179" s="195">
        <f t="shared" si="39"/>
        <v>31</v>
      </c>
      <c r="L179" s="195">
        <f t="shared" si="39"/>
        <v>31</v>
      </c>
      <c r="M179" s="190"/>
      <c r="N179" s="196"/>
      <c r="O179" s="197"/>
      <c r="P179" s="198" t="str">
        <f t="shared" si="37"/>
        <v/>
      </c>
    </row>
    <row r="180" spans="2:16" x14ac:dyDescent="0.35">
      <c r="B180" s="190"/>
      <c r="C180" s="190"/>
      <c r="D180" s="190"/>
      <c r="E180" s="191" t="str">
        <f t="shared" si="38"/>
        <v>--</v>
      </c>
      <c r="F180" s="192"/>
      <c r="G180" s="197"/>
      <c r="H180" s="193"/>
      <c r="I180" s="193"/>
      <c r="J180" s="194"/>
      <c r="K180" s="195">
        <f t="shared" si="39"/>
        <v>31</v>
      </c>
      <c r="L180" s="195">
        <f t="shared" si="39"/>
        <v>31</v>
      </c>
      <c r="M180" s="190"/>
      <c r="N180" s="196"/>
      <c r="O180" s="197"/>
      <c r="P180" s="198" t="str">
        <f t="shared" si="37"/>
        <v/>
      </c>
    </row>
    <row r="181" spans="2:16" x14ac:dyDescent="0.35">
      <c r="B181" s="190"/>
      <c r="C181" s="190"/>
      <c r="D181" s="190"/>
      <c r="E181" s="191" t="str">
        <f t="shared" si="38"/>
        <v>--</v>
      </c>
      <c r="F181" s="192"/>
      <c r="G181" s="197"/>
      <c r="H181" s="193"/>
      <c r="I181" s="193"/>
      <c r="J181" s="194"/>
      <c r="K181" s="195">
        <f t="shared" si="39"/>
        <v>31</v>
      </c>
      <c r="L181" s="195">
        <f t="shared" si="39"/>
        <v>31</v>
      </c>
      <c r="M181" s="190"/>
      <c r="N181" s="196"/>
      <c r="O181" s="197"/>
      <c r="P181" s="198" t="str">
        <f t="shared" si="37"/>
        <v/>
      </c>
    </row>
    <row r="182" spans="2:16" x14ac:dyDescent="0.35">
      <c r="B182" s="190"/>
      <c r="C182" s="190"/>
      <c r="D182" s="190"/>
      <c r="E182" s="191" t="str">
        <f t="shared" si="38"/>
        <v>--</v>
      </c>
      <c r="F182" s="192"/>
      <c r="G182" s="197"/>
      <c r="H182" s="193"/>
      <c r="I182" s="193"/>
      <c r="J182" s="194"/>
      <c r="K182" s="195">
        <f t="shared" si="39"/>
        <v>31</v>
      </c>
      <c r="L182" s="195">
        <f t="shared" si="39"/>
        <v>31</v>
      </c>
      <c r="M182" s="190"/>
      <c r="N182" s="196"/>
      <c r="O182" s="197"/>
      <c r="P182" s="198" t="str">
        <f t="shared" si="37"/>
        <v/>
      </c>
    </row>
    <row r="183" spans="2:16" x14ac:dyDescent="0.35">
      <c r="B183" s="190"/>
      <c r="C183" s="190"/>
      <c r="D183" s="190"/>
      <c r="E183" s="191" t="str">
        <f t="shared" si="38"/>
        <v>--</v>
      </c>
      <c r="F183" s="192"/>
      <c r="G183" s="197"/>
      <c r="H183" s="193"/>
      <c r="I183" s="193"/>
      <c r="J183" s="194"/>
      <c r="K183" s="195">
        <f t="shared" si="39"/>
        <v>31</v>
      </c>
      <c r="L183" s="195">
        <f t="shared" si="39"/>
        <v>31</v>
      </c>
      <c r="M183" s="190"/>
      <c r="N183" s="196"/>
      <c r="O183" s="197"/>
      <c r="P183" s="198" t="str">
        <f t="shared" si="37"/>
        <v/>
      </c>
    </row>
    <row r="184" spans="2:16" x14ac:dyDescent="0.35">
      <c r="B184" s="190"/>
      <c r="C184" s="190"/>
      <c r="D184" s="190"/>
      <c r="E184" s="191" t="str">
        <f t="shared" si="38"/>
        <v>--</v>
      </c>
      <c r="F184" s="192"/>
      <c r="G184" s="197"/>
      <c r="H184" s="193"/>
      <c r="I184" s="193"/>
      <c r="J184" s="194"/>
      <c r="K184" s="195">
        <f t="shared" si="39"/>
        <v>31</v>
      </c>
      <c r="L184" s="195">
        <f t="shared" si="39"/>
        <v>31</v>
      </c>
      <c r="M184" s="190"/>
      <c r="N184" s="196"/>
      <c r="O184" s="197"/>
      <c r="P184" s="198" t="str">
        <f t="shared" si="37"/>
        <v/>
      </c>
    </row>
    <row r="185" spans="2:16" x14ac:dyDescent="0.35">
      <c r="B185" s="190"/>
      <c r="C185" s="190"/>
      <c r="D185" s="190"/>
      <c r="E185" s="191" t="str">
        <f t="shared" si="38"/>
        <v>--</v>
      </c>
      <c r="F185" s="192"/>
      <c r="G185" s="197"/>
      <c r="H185" s="193"/>
      <c r="I185" s="193"/>
      <c r="J185" s="194"/>
      <c r="K185" s="195">
        <f t="shared" si="39"/>
        <v>31</v>
      </c>
      <c r="L185" s="195">
        <f t="shared" si="39"/>
        <v>31</v>
      </c>
      <c r="M185" s="190"/>
      <c r="N185" s="196"/>
      <c r="O185" s="197"/>
      <c r="P185" s="198" t="str">
        <f t="shared" si="37"/>
        <v/>
      </c>
    </row>
    <row r="186" spans="2:16" x14ac:dyDescent="0.35">
      <c r="B186" s="190"/>
      <c r="C186" s="190"/>
      <c r="D186" s="190"/>
      <c r="E186" s="191" t="str">
        <f t="shared" si="38"/>
        <v>--</v>
      </c>
      <c r="F186" s="192"/>
      <c r="G186" s="197"/>
      <c r="H186" s="193"/>
      <c r="I186" s="193"/>
      <c r="J186" s="194"/>
      <c r="K186" s="195">
        <f t="shared" si="39"/>
        <v>31</v>
      </c>
      <c r="L186" s="195">
        <f t="shared" si="39"/>
        <v>31</v>
      </c>
      <c r="M186" s="190"/>
      <c r="N186" s="196"/>
      <c r="O186" s="197"/>
      <c r="P186" s="198" t="str">
        <f t="shared" si="37"/>
        <v/>
      </c>
    </row>
    <row r="187" spans="2:16" x14ac:dyDescent="0.35">
      <c r="B187" s="190"/>
      <c r="C187" s="190"/>
      <c r="D187" s="190"/>
      <c r="E187" s="191" t="str">
        <f t="shared" si="38"/>
        <v>--</v>
      </c>
      <c r="F187" s="192"/>
      <c r="G187" s="197"/>
      <c r="H187" s="193"/>
      <c r="I187" s="193"/>
      <c r="J187" s="194"/>
      <c r="K187" s="195">
        <f t="shared" si="39"/>
        <v>31</v>
      </c>
      <c r="L187" s="195">
        <f t="shared" si="39"/>
        <v>31</v>
      </c>
      <c r="M187" s="190"/>
      <c r="N187" s="196"/>
      <c r="O187" s="197"/>
      <c r="P187" s="198" t="str">
        <f t="shared" si="37"/>
        <v/>
      </c>
    </row>
    <row r="188" spans="2:16" x14ac:dyDescent="0.35">
      <c r="B188" s="190"/>
      <c r="C188" s="190"/>
      <c r="D188" s="190"/>
      <c r="E188" s="191" t="str">
        <f t="shared" si="38"/>
        <v>--</v>
      </c>
      <c r="F188" s="192"/>
      <c r="G188" s="197"/>
      <c r="H188" s="193"/>
      <c r="I188" s="193"/>
      <c r="J188" s="194"/>
      <c r="K188" s="195">
        <f t="shared" si="39"/>
        <v>31</v>
      </c>
      <c r="L188" s="195">
        <f t="shared" si="39"/>
        <v>31</v>
      </c>
      <c r="M188" s="190"/>
      <c r="N188" s="196"/>
      <c r="O188" s="197"/>
      <c r="P188" s="198" t="str">
        <f t="shared" si="37"/>
        <v/>
      </c>
    </row>
    <row r="189" spans="2:16" x14ac:dyDescent="0.35">
      <c r="B189" s="190"/>
      <c r="C189" s="190"/>
      <c r="D189" s="190"/>
      <c r="E189" s="191" t="str">
        <f t="shared" si="38"/>
        <v>--</v>
      </c>
      <c r="F189" s="192"/>
      <c r="G189" s="197"/>
      <c r="H189" s="193"/>
      <c r="I189" s="193"/>
      <c r="J189" s="194"/>
      <c r="K189" s="195">
        <f t="shared" si="39"/>
        <v>31</v>
      </c>
      <c r="L189" s="195">
        <f t="shared" si="39"/>
        <v>31</v>
      </c>
      <c r="M189" s="190"/>
      <c r="N189" s="196"/>
      <c r="O189" s="197"/>
      <c r="P189" s="198" t="str">
        <f t="shared" si="37"/>
        <v/>
      </c>
    </row>
    <row r="190" spans="2:16" x14ac:dyDescent="0.35">
      <c r="B190" s="190"/>
      <c r="C190" s="190"/>
      <c r="D190" s="190"/>
      <c r="E190" s="191" t="str">
        <f t="shared" si="38"/>
        <v>--</v>
      </c>
      <c r="F190" s="192"/>
      <c r="G190" s="197"/>
      <c r="H190" s="193"/>
      <c r="I190" s="193"/>
      <c r="J190" s="194"/>
      <c r="K190" s="195">
        <f t="shared" si="39"/>
        <v>31</v>
      </c>
      <c r="L190" s="195">
        <f t="shared" si="39"/>
        <v>31</v>
      </c>
      <c r="M190" s="190"/>
      <c r="N190" s="196"/>
      <c r="O190" s="197"/>
      <c r="P190" s="198" t="str">
        <f t="shared" si="37"/>
        <v/>
      </c>
    </row>
    <row r="191" spans="2:16" x14ac:dyDescent="0.35">
      <c r="B191" s="190"/>
      <c r="C191" s="190"/>
      <c r="D191" s="190"/>
      <c r="E191" s="191" t="str">
        <f t="shared" si="38"/>
        <v>--</v>
      </c>
      <c r="F191" s="192"/>
      <c r="G191" s="197"/>
      <c r="H191" s="193"/>
      <c r="I191" s="193"/>
      <c r="J191" s="194"/>
      <c r="K191" s="195">
        <f t="shared" si="39"/>
        <v>31</v>
      </c>
      <c r="L191" s="195">
        <f t="shared" si="39"/>
        <v>31</v>
      </c>
      <c r="M191" s="190"/>
      <c r="N191" s="196"/>
      <c r="O191" s="197"/>
      <c r="P191" s="198" t="str">
        <f t="shared" si="37"/>
        <v/>
      </c>
    </row>
    <row r="192" spans="2:16" x14ac:dyDescent="0.35">
      <c r="B192" s="190"/>
      <c r="C192" s="190"/>
      <c r="D192" s="190"/>
      <c r="E192" s="191" t="str">
        <f t="shared" si="38"/>
        <v>--</v>
      </c>
      <c r="F192" s="192"/>
      <c r="G192" s="197"/>
      <c r="H192" s="193"/>
      <c r="I192" s="193"/>
      <c r="J192" s="194"/>
      <c r="K192" s="195">
        <f t="shared" si="39"/>
        <v>31</v>
      </c>
      <c r="L192" s="195">
        <f t="shared" si="39"/>
        <v>31</v>
      </c>
      <c r="M192" s="190"/>
      <c r="N192" s="196"/>
      <c r="O192" s="197"/>
      <c r="P192" s="198" t="str">
        <f t="shared" si="37"/>
        <v/>
      </c>
    </row>
    <row r="193" spans="2:16" x14ac:dyDescent="0.35">
      <c r="B193" s="190"/>
      <c r="C193" s="190"/>
      <c r="D193" s="190"/>
      <c r="E193" s="191" t="str">
        <f t="shared" si="38"/>
        <v>--</v>
      </c>
      <c r="F193" s="192"/>
      <c r="G193" s="197"/>
      <c r="H193" s="193"/>
      <c r="I193" s="193"/>
      <c r="J193" s="194"/>
      <c r="K193" s="195">
        <f t="shared" si="39"/>
        <v>31</v>
      </c>
      <c r="L193" s="195">
        <f t="shared" si="39"/>
        <v>31</v>
      </c>
      <c r="M193" s="190"/>
      <c r="N193" s="196"/>
      <c r="O193" s="197"/>
      <c r="P193" s="198" t="str">
        <f t="shared" si="37"/>
        <v/>
      </c>
    </row>
    <row r="194" spans="2:16" x14ac:dyDescent="0.35">
      <c r="B194" s="190"/>
      <c r="C194" s="190"/>
      <c r="D194" s="190"/>
      <c r="E194" s="191" t="str">
        <f t="shared" si="38"/>
        <v>--</v>
      </c>
      <c r="F194" s="192"/>
      <c r="G194" s="197"/>
      <c r="H194" s="193"/>
      <c r="I194" s="193"/>
      <c r="J194" s="194"/>
      <c r="K194" s="195">
        <f t="shared" si="39"/>
        <v>31</v>
      </c>
      <c r="L194" s="195">
        <f t="shared" si="39"/>
        <v>31</v>
      </c>
      <c r="M194" s="190"/>
      <c r="N194" s="196"/>
      <c r="O194" s="197"/>
      <c r="P194" s="198" t="str">
        <f t="shared" si="37"/>
        <v/>
      </c>
    </row>
    <row r="195" spans="2:16" x14ac:dyDescent="0.35">
      <c r="B195" s="190"/>
      <c r="C195" s="190"/>
      <c r="D195" s="190"/>
      <c r="E195" s="191" t="str">
        <f t="shared" si="38"/>
        <v>--</v>
      </c>
      <c r="F195" s="192"/>
      <c r="G195" s="197"/>
      <c r="H195" s="193"/>
      <c r="I195" s="193"/>
      <c r="J195" s="194"/>
      <c r="K195" s="195">
        <f t="shared" si="39"/>
        <v>31</v>
      </c>
      <c r="L195" s="195">
        <f t="shared" si="39"/>
        <v>31</v>
      </c>
      <c r="M195" s="190"/>
      <c r="N195" s="196"/>
      <c r="O195" s="197"/>
      <c r="P195" s="198" t="str">
        <f t="shared" si="37"/>
        <v/>
      </c>
    </row>
    <row r="196" spans="2:16" x14ac:dyDescent="0.35">
      <c r="B196" s="190"/>
      <c r="C196" s="190"/>
      <c r="D196" s="190"/>
      <c r="E196" s="191" t="str">
        <f t="shared" si="38"/>
        <v>--</v>
      </c>
      <c r="F196" s="192"/>
      <c r="G196" s="197"/>
      <c r="H196" s="193"/>
      <c r="I196" s="193"/>
      <c r="J196" s="194"/>
      <c r="K196" s="195">
        <f t="shared" si="39"/>
        <v>31</v>
      </c>
      <c r="L196" s="195">
        <f t="shared" si="39"/>
        <v>31</v>
      </c>
      <c r="M196" s="190"/>
      <c r="N196" s="196"/>
      <c r="O196" s="197"/>
      <c r="P196" s="198" t="str">
        <f t="shared" si="37"/>
        <v/>
      </c>
    </row>
    <row r="197" spans="2:16" x14ac:dyDescent="0.35">
      <c r="B197" s="190"/>
      <c r="C197" s="190"/>
      <c r="D197" s="190"/>
      <c r="E197" s="191" t="str">
        <f t="shared" si="38"/>
        <v>--</v>
      </c>
      <c r="F197" s="192"/>
      <c r="G197" s="197"/>
      <c r="H197" s="193"/>
      <c r="I197" s="193"/>
      <c r="J197" s="194"/>
      <c r="K197" s="195">
        <f t="shared" si="39"/>
        <v>31</v>
      </c>
      <c r="L197" s="195">
        <f t="shared" si="39"/>
        <v>31</v>
      </c>
      <c r="M197" s="190"/>
      <c r="N197" s="196"/>
      <c r="O197" s="197"/>
      <c r="P197" s="198" t="str">
        <f t="shared" si="37"/>
        <v/>
      </c>
    </row>
    <row r="198" spans="2:16" x14ac:dyDescent="0.35">
      <c r="B198" s="190"/>
      <c r="C198" s="190"/>
      <c r="D198" s="190"/>
      <c r="E198" s="191" t="str">
        <f t="shared" si="38"/>
        <v>--</v>
      </c>
      <c r="F198" s="192"/>
      <c r="G198" s="197"/>
      <c r="H198" s="193"/>
      <c r="I198" s="193"/>
      <c r="J198" s="194"/>
      <c r="K198" s="195">
        <f t="shared" si="39"/>
        <v>31</v>
      </c>
      <c r="L198" s="195">
        <f t="shared" si="39"/>
        <v>31</v>
      </c>
      <c r="M198" s="190"/>
      <c r="N198" s="196"/>
      <c r="O198" s="197"/>
      <c r="P198" s="198" t="str">
        <f t="shared" si="37"/>
        <v/>
      </c>
    </row>
    <row r="199" spans="2:16" x14ac:dyDescent="0.35">
      <c r="B199" s="190"/>
      <c r="C199" s="190"/>
      <c r="D199" s="190"/>
      <c r="E199" s="191" t="str">
        <f t="shared" si="38"/>
        <v>--</v>
      </c>
      <c r="F199" s="192"/>
      <c r="G199" s="197"/>
      <c r="H199" s="193"/>
      <c r="I199" s="193"/>
      <c r="J199" s="194"/>
      <c r="K199" s="195">
        <f t="shared" si="39"/>
        <v>31</v>
      </c>
      <c r="L199" s="195">
        <f t="shared" si="39"/>
        <v>31</v>
      </c>
      <c r="M199" s="190"/>
      <c r="N199" s="196"/>
      <c r="O199" s="197"/>
      <c r="P199" s="198" t="str">
        <f t="shared" si="37"/>
        <v/>
      </c>
    </row>
    <row r="200" spans="2:16" x14ac:dyDescent="0.35">
      <c r="B200" s="190"/>
      <c r="C200" s="190"/>
      <c r="D200" s="190"/>
      <c r="E200" s="191" t="str">
        <f t="shared" si="38"/>
        <v>--</v>
      </c>
      <c r="F200" s="192"/>
      <c r="G200" s="197"/>
      <c r="H200" s="193"/>
      <c r="I200" s="193"/>
      <c r="J200" s="194"/>
      <c r="K200" s="195">
        <f t="shared" si="39"/>
        <v>31</v>
      </c>
      <c r="L200" s="195">
        <f t="shared" si="39"/>
        <v>31</v>
      </c>
      <c r="M200" s="190"/>
      <c r="N200" s="196"/>
      <c r="O200" s="197"/>
      <c r="P200" s="198" t="str">
        <f t="shared" ref="P200:P263" si="40">IF(H200="","",IF(($C$5-H200)/365&gt;1.5,"Renewed Lease","New Lease"))</f>
        <v/>
      </c>
    </row>
    <row r="201" spans="2:16" x14ac:dyDescent="0.35">
      <c r="B201" s="190"/>
      <c r="C201" s="190"/>
      <c r="D201" s="190"/>
      <c r="E201" s="191" t="str">
        <f t="shared" ref="E201:E264" si="41">F201&amp;"-"&amp;D201&amp;"-"&amp;C201</f>
        <v>--</v>
      </c>
      <c r="F201" s="192"/>
      <c r="G201" s="197"/>
      <c r="H201" s="193"/>
      <c r="I201" s="193"/>
      <c r="J201" s="194"/>
      <c r="K201" s="195">
        <f t="shared" si="39"/>
        <v>31</v>
      </c>
      <c r="L201" s="195">
        <f t="shared" si="39"/>
        <v>31</v>
      </c>
      <c r="M201" s="190"/>
      <c r="N201" s="196"/>
      <c r="O201" s="197"/>
      <c r="P201" s="198" t="str">
        <f t="shared" si="40"/>
        <v/>
      </c>
    </row>
    <row r="202" spans="2:16" x14ac:dyDescent="0.35">
      <c r="B202" s="190"/>
      <c r="C202" s="190"/>
      <c r="D202" s="190"/>
      <c r="E202" s="191" t="str">
        <f t="shared" si="41"/>
        <v>--</v>
      </c>
      <c r="F202" s="192"/>
      <c r="G202" s="197"/>
      <c r="H202" s="193"/>
      <c r="I202" s="193"/>
      <c r="J202" s="194"/>
      <c r="K202" s="195">
        <f t="shared" si="39"/>
        <v>31</v>
      </c>
      <c r="L202" s="195">
        <f t="shared" si="39"/>
        <v>31</v>
      </c>
      <c r="M202" s="190"/>
      <c r="N202" s="196"/>
      <c r="O202" s="197"/>
      <c r="P202" s="198" t="str">
        <f t="shared" si="40"/>
        <v/>
      </c>
    </row>
    <row r="203" spans="2:16" x14ac:dyDescent="0.35">
      <c r="B203" s="190"/>
      <c r="C203" s="190"/>
      <c r="D203" s="190"/>
      <c r="E203" s="191" t="str">
        <f t="shared" si="41"/>
        <v>--</v>
      </c>
      <c r="F203" s="192"/>
      <c r="G203" s="197"/>
      <c r="H203" s="193"/>
      <c r="I203" s="193"/>
      <c r="J203" s="194"/>
      <c r="K203" s="195">
        <f t="shared" si="39"/>
        <v>31</v>
      </c>
      <c r="L203" s="195">
        <f t="shared" si="39"/>
        <v>31</v>
      </c>
      <c r="M203" s="190"/>
      <c r="N203" s="196"/>
      <c r="O203" s="197"/>
      <c r="P203" s="198" t="str">
        <f t="shared" si="40"/>
        <v/>
      </c>
    </row>
    <row r="204" spans="2:16" x14ac:dyDescent="0.35">
      <c r="B204" s="190"/>
      <c r="C204" s="190"/>
      <c r="D204" s="190"/>
      <c r="E204" s="191" t="str">
        <f t="shared" si="41"/>
        <v>--</v>
      </c>
      <c r="F204" s="192"/>
      <c r="G204" s="197"/>
      <c r="H204" s="193"/>
      <c r="I204" s="193"/>
      <c r="J204" s="194"/>
      <c r="K204" s="195">
        <f t="shared" si="39"/>
        <v>31</v>
      </c>
      <c r="L204" s="195">
        <f t="shared" si="39"/>
        <v>31</v>
      </c>
      <c r="M204" s="190"/>
      <c r="N204" s="196"/>
      <c r="O204" s="197"/>
      <c r="P204" s="198" t="str">
        <f t="shared" si="40"/>
        <v/>
      </c>
    </row>
    <row r="205" spans="2:16" x14ac:dyDescent="0.35">
      <c r="B205" s="190"/>
      <c r="C205" s="190"/>
      <c r="D205" s="190"/>
      <c r="E205" s="191" t="str">
        <f t="shared" si="41"/>
        <v>--</v>
      </c>
      <c r="F205" s="192"/>
      <c r="G205" s="197"/>
      <c r="H205" s="193"/>
      <c r="I205" s="193"/>
      <c r="J205" s="194"/>
      <c r="K205" s="195">
        <f t="shared" si="39"/>
        <v>31</v>
      </c>
      <c r="L205" s="195">
        <f t="shared" si="39"/>
        <v>31</v>
      </c>
      <c r="M205" s="190"/>
      <c r="N205" s="196"/>
      <c r="O205" s="197"/>
      <c r="P205" s="198" t="str">
        <f t="shared" si="40"/>
        <v/>
      </c>
    </row>
    <row r="206" spans="2:16" x14ac:dyDescent="0.35">
      <c r="B206" s="190"/>
      <c r="C206" s="190"/>
      <c r="D206" s="190"/>
      <c r="E206" s="191" t="str">
        <f t="shared" si="41"/>
        <v>--</v>
      </c>
      <c r="F206" s="192"/>
      <c r="G206" s="197"/>
      <c r="H206" s="193"/>
      <c r="I206" s="193"/>
      <c r="J206" s="194"/>
      <c r="K206" s="195">
        <f t="shared" si="39"/>
        <v>31</v>
      </c>
      <c r="L206" s="195">
        <f t="shared" si="39"/>
        <v>31</v>
      </c>
      <c r="M206" s="190"/>
      <c r="N206" s="196"/>
      <c r="O206" s="197"/>
      <c r="P206" s="198" t="str">
        <f t="shared" si="40"/>
        <v/>
      </c>
    </row>
    <row r="207" spans="2:16" x14ac:dyDescent="0.35">
      <c r="B207" s="190"/>
      <c r="C207" s="190"/>
      <c r="D207" s="190"/>
      <c r="E207" s="191" t="str">
        <f t="shared" si="41"/>
        <v>--</v>
      </c>
      <c r="F207" s="192"/>
      <c r="G207" s="197"/>
      <c r="H207" s="193"/>
      <c r="I207" s="193"/>
      <c r="J207" s="194"/>
      <c r="K207" s="195">
        <f t="shared" si="39"/>
        <v>31</v>
      </c>
      <c r="L207" s="195">
        <f t="shared" si="39"/>
        <v>31</v>
      </c>
      <c r="M207" s="190"/>
      <c r="N207" s="196"/>
      <c r="O207" s="197"/>
      <c r="P207" s="198" t="str">
        <f t="shared" si="40"/>
        <v/>
      </c>
    </row>
    <row r="208" spans="2:16" x14ac:dyDescent="0.35">
      <c r="B208" s="190"/>
      <c r="C208" s="190"/>
      <c r="D208" s="190"/>
      <c r="E208" s="191" t="str">
        <f t="shared" si="41"/>
        <v>--</v>
      </c>
      <c r="F208" s="192"/>
      <c r="G208" s="197"/>
      <c r="H208" s="193"/>
      <c r="I208" s="193"/>
      <c r="J208" s="194"/>
      <c r="K208" s="195">
        <f t="shared" si="39"/>
        <v>31</v>
      </c>
      <c r="L208" s="195">
        <f t="shared" si="39"/>
        <v>31</v>
      </c>
      <c r="M208" s="190"/>
      <c r="N208" s="196"/>
      <c r="O208" s="197"/>
      <c r="P208" s="198" t="str">
        <f t="shared" si="40"/>
        <v/>
      </c>
    </row>
    <row r="209" spans="2:16" x14ac:dyDescent="0.35">
      <c r="B209" s="190"/>
      <c r="C209" s="190"/>
      <c r="D209" s="190"/>
      <c r="E209" s="191" t="str">
        <f t="shared" si="41"/>
        <v>--</v>
      </c>
      <c r="F209" s="192"/>
      <c r="G209" s="197"/>
      <c r="H209" s="193"/>
      <c r="I209" s="193"/>
      <c r="J209" s="194"/>
      <c r="K209" s="195">
        <f t="shared" ref="K209:L272" si="42">EOMONTH(I209,0)</f>
        <v>31</v>
      </c>
      <c r="L209" s="195">
        <f t="shared" si="42"/>
        <v>31</v>
      </c>
      <c r="M209" s="190"/>
      <c r="N209" s="196"/>
      <c r="O209" s="197"/>
      <c r="P209" s="198" t="str">
        <f t="shared" si="40"/>
        <v/>
      </c>
    </row>
    <row r="210" spans="2:16" x14ac:dyDescent="0.35">
      <c r="B210" s="190"/>
      <c r="C210" s="190"/>
      <c r="D210" s="190"/>
      <c r="E210" s="191" t="str">
        <f t="shared" si="41"/>
        <v>--</v>
      </c>
      <c r="F210" s="192"/>
      <c r="G210" s="197"/>
      <c r="H210" s="193"/>
      <c r="I210" s="193"/>
      <c r="J210" s="194"/>
      <c r="K210" s="195">
        <f t="shared" si="42"/>
        <v>31</v>
      </c>
      <c r="L210" s="195">
        <f t="shared" si="42"/>
        <v>31</v>
      </c>
      <c r="M210" s="190"/>
      <c r="N210" s="196"/>
      <c r="O210" s="197"/>
      <c r="P210" s="198" t="str">
        <f t="shared" si="40"/>
        <v/>
      </c>
    </row>
    <row r="211" spans="2:16" x14ac:dyDescent="0.35">
      <c r="B211" s="190"/>
      <c r="C211" s="190"/>
      <c r="D211" s="190"/>
      <c r="E211" s="191" t="str">
        <f t="shared" si="41"/>
        <v>--</v>
      </c>
      <c r="F211" s="192"/>
      <c r="G211" s="197"/>
      <c r="H211" s="193"/>
      <c r="I211" s="193"/>
      <c r="J211" s="194"/>
      <c r="K211" s="195">
        <f t="shared" si="42"/>
        <v>31</v>
      </c>
      <c r="L211" s="195">
        <f t="shared" si="42"/>
        <v>31</v>
      </c>
      <c r="M211" s="190"/>
      <c r="N211" s="196"/>
      <c r="O211" s="197"/>
      <c r="P211" s="198" t="str">
        <f t="shared" si="40"/>
        <v/>
      </c>
    </row>
    <row r="212" spans="2:16" x14ac:dyDescent="0.35">
      <c r="B212" s="190"/>
      <c r="C212" s="190"/>
      <c r="D212" s="190"/>
      <c r="E212" s="191" t="str">
        <f t="shared" si="41"/>
        <v>--</v>
      </c>
      <c r="F212" s="192"/>
      <c r="G212" s="197"/>
      <c r="H212" s="193"/>
      <c r="I212" s="193"/>
      <c r="J212" s="194"/>
      <c r="K212" s="195">
        <f t="shared" si="42"/>
        <v>31</v>
      </c>
      <c r="L212" s="195">
        <f t="shared" si="42"/>
        <v>31</v>
      </c>
      <c r="M212" s="190"/>
      <c r="N212" s="196"/>
      <c r="O212" s="197"/>
      <c r="P212" s="198" t="str">
        <f t="shared" si="40"/>
        <v/>
      </c>
    </row>
    <row r="213" spans="2:16" x14ac:dyDescent="0.35">
      <c r="B213" s="190"/>
      <c r="C213" s="190"/>
      <c r="D213" s="190"/>
      <c r="E213" s="191" t="str">
        <f t="shared" si="41"/>
        <v>--</v>
      </c>
      <c r="F213" s="192"/>
      <c r="G213" s="197"/>
      <c r="H213" s="193"/>
      <c r="I213" s="193"/>
      <c r="J213" s="194"/>
      <c r="K213" s="195">
        <f t="shared" si="42"/>
        <v>31</v>
      </c>
      <c r="L213" s="195">
        <f t="shared" si="42"/>
        <v>31</v>
      </c>
      <c r="M213" s="190"/>
      <c r="N213" s="196"/>
      <c r="O213" s="197"/>
      <c r="P213" s="198" t="str">
        <f t="shared" si="40"/>
        <v/>
      </c>
    </row>
    <row r="214" spans="2:16" x14ac:dyDescent="0.35">
      <c r="B214" s="190"/>
      <c r="C214" s="190"/>
      <c r="D214" s="190"/>
      <c r="E214" s="191" t="str">
        <f t="shared" si="41"/>
        <v>--</v>
      </c>
      <c r="F214" s="192"/>
      <c r="G214" s="197"/>
      <c r="H214" s="193"/>
      <c r="I214" s="193"/>
      <c r="J214" s="194"/>
      <c r="K214" s="195">
        <f t="shared" si="42"/>
        <v>31</v>
      </c>
      <c r="L214" s="195">
        <f t="shared" si="42"/>
        <v>31</v>
      </c>
      <c r="M214" s="190"/>
      <c r="N214" s="196"/>
      <c r="O214" s="197"/>
      <c r="P214" s="198" t="str">
        <f t="shared" si="40"/>
        <v/>
      </c>
    </row>
    <row r="215" spans="2:16" x14ac:dyDescent="0.35">
      <c r="B215" s="190"/>
      <c r="C215" s="190"/>
      <c r="D215" s="190"/>
      <c r="E215" s="191" t="str">
        <f t="shared" si="41"/>
        <v>--</v>
      </c>
      <c r="F215" s="192"/>
      <c r="G215" s="197"/>
      <c r="H215" s="193"/>
      <c r="I215" s="193"/>
      <c r="J215" s="194"/>
      <c r="K215" s="195">
        <f t="shared" si="42"/>
        <v>31</v>
      </c>
      <c r="L215" s="195">
        <f t="shared" si="42"/>
        <v>31</v>
      </c>
      <c r="M215" s="190"/>
      <c r="N215" s="196"/>
      <c r="O215" s="197"/>
      <c r="P215" s="198" t="str">
        <f t="shared" si="40"/>
        <v/>
      </c>
    </row>
    <row r="216" spans="2:16" x14ac:dyDescent="0.35">
      <c r="B216" s="190"/>
      <c r="C216" s="190"/>
      <c r="D216" s="190"/>
      <c r="E216" s="191" t="str">
        <f t="shared" si="41"/>
        <v>--</v>
      </c>
      <c r="F216" s="192"/>
      <c r="G216" s="197"/>
      <c r="H216" s="193"/>
      <c r="I216" s="193"/>
      <c r="J216" s="194"/>
      <c r="K216" s="195">
        <f t="shared" si="42"/>
        <v>31</v>
      </c>
      <c r="L216" s="195">
        <f t="shared" si="42"/>
        <v>31</v>
      </c>
      <c r="M216" s="190"/>
      <c r="N216" s="196"/>
      <c r="O216" s="197"/>
      <c r="P216" s="198" t="str">
        <f t="shared" si="40"/>
        <v/>
      </c>
    </row>
    <row r="217" spans="2:16" x14ac:dyDescent="0.35">
      <c r="B217" s="190"/>
      <c r="C217" s="190"/>
      <c r="D217" s="190"/>
      <c r="E217" s="191" t="str">
        <f t="shared" si="41"/>
        <v>--</v>
      </c>
      <c r="F217" s="192"/>
      <c r="G217" s="197"/>
      <c r="H217" s="193"/>
      <c r="I217" s="193"/>
      <c r="J217" s="194"/>
      <c r="K217" s="195">
        <f t="shared" si="42"/>
        <v>31</v>
      </c>
      <c r="L217" s="195">
        <f t="shared" si="42"/>
        <v>31</v>
      </c>
      <c r="M217" s="190"/>
      <c r="N217" s="196"/>
      <c r="O217" s="197"/>
      <c r="P217" s="198" t="str">
        <f t="shared" si="40"/>
        <v/>
      </c>
    </row>
    <row r="218" spans="2:16" x14ac:dyDescent="0.35">
      <c r="B218" s="190"/>
      <c r="C218" s="190"/>
      <c r="D218" s="190"/>
      <c r="E218" s="191" t="str">
        <f t="shared" si="41"/>
        <v>--</v>
      </c>
      <c r="F218" s="192"/>
      <c r="G218" s="197"/>
      <c r="H218" s="193"/>
      <c r="I218" s="193"/>
      <c r="J218" s="194"/>
      <c r="K218" s="195">
        <f t="shared" si="42"/>
        <v>31</v>
      </c>
      <c r="L218" s="195">
        <f t="shared" si="42"/>
        <v>31</v>
      </c>
      <c r="M218" s="190"/>
      <c r="N218" s="196"/>
      <c r="O218" s="197"/>
      <c r="P218" s="198" t="str">
        <f t="shared" si="40"/>
        <v/>
      </c>
    </row>
    <row r="219" spans="2:16" x14ac:dyDescent="0.35">
      <c r="B219" s="190"/>
      <c r="C219" s="190"/>
      <c r="D219" s="190"/>
      <c r="E219" s="191" t="str">
        <f t="shared" si="41"/>
        <v>--</v>
      </c>
      <c r="F219" s="192"/>
      <c r="G219" s="197"/>
      <c r="H219" s="193"/>
      <c r="I219" s="193"/>
      <c r="J219" s="194"/>
      <c r="K219" s="195">
        <f t="shared" si="42"/>
        <v>31</v>
      </c>
      <c r="L219" s="195">
        <f t="shared" si="42"/>
        <v>31</v>
      </c>
      <c r="M219" s="190"/>
      <c r="N219" s="196"/>
      <c r="O219" s="197"/>
      <c r="P219" s="198" t="str">
        <f t="shared" si="40"/>
        <v/>
      </c>
    </row>
    <row r="220" spans="2:16" x14ac:dyDescent="0.35">
      <c r="B220" s="190"/>
      <c r="C220" s="190"/>
      <c r="D220" s="190"/>
      <c r="E220" s="191" t="str">
        <f t="shared" si="41"/>
        <v>--</v>
      </c>
      <c r="F220" s="192"/>
      <c r="G220" s="197"/>
      <c r="H220" s="193"/>
      <c r="I220" s="193"/>
      <c r="J220" s="194"/>
      <c r="K220" s="195">
        <f t="shared" si="42"/>
        <v>31</v>
      </c>
      <c r="L220" s="195">
        <f t="shared" si="42"/>
        <v>31</v>
      </c>
      <c r="M220" s="190"/>
      <c r="N220" s="196"/>
      <c r="O220" s="197"/>
      <c r="P220" s="198" t="str">
        <f t="shared" si="40"/>
        <v/>
      </c>
    </row>
    <row r="221" spans="2:16" x14ac:dyDescent="0.35">
      <c r="B221" s="190"/>
      <c r="C221" s="190"/>
      <c r="D221" s="190"/>
      <c r="E221" s="191" t="str">
        <f t="shared" si="41"/>
        <v>--</v>
      </c>
      <c r="F221" s="192"/>
      <c r="G221" s="197"/>
      <c r="H221" s="193"/>
      <c r="I221" s="193"/>
      <c r="J221" s="194"/>
      <c r="K221" s="195">
        <f t="shared" si="42"/>
        <v>31</v>
      </c>
      <c r="L221" s="195">
        <f t="shared" si="42"/>
        <v>31</v>
      </c>
      <c r="M221" s="190"/>
      <c r="N221" s="196"/>
      <c r="O221" s="197"/>
      <c r="P221" s="198" t="str">
        <f t="shared" si="40"/>
        <v/>
      </c>
    </row>
    <row r="222" spans="2:16" x14ac:dyDescent="0.35">
      <c r="B222" s="190"/>
      <c r="C222" s="190"/>
      <c r="D222" s="190"/>
      <c r="E222" s="191" t="str">
        <f t="shared" si="41"/>
        <v>--</v>
      </c>
      <c r="F222" s="192"/>
      <c r="G222" s="197"/>
      <c r="H222" s="193"/>
      <c r="I222" s="193"/>
      <c r="J222" s="194"/>
      <c r="K222" s="195">
        <f t="shared" si="42"/>
        <v>31</v>
      </c>
      <c r="L222" s="195">
        <f t="shared" si="42"/>
        <v>31</v>
      </c>
      <c r="M222" s="190"/>
      <c r="N222" s="196"/>
      <c r="O222" s="197"/>
      <c r="P222" s="198" t="str">
        <f t="shared" si="40"/>
        <v/>
      </c>
    </row>
    <row r="223" spans="2:16" x14ac:dyDescent="0.35">
      <c r="B223" s="190"/>
      <c r="C223" s="190"/>
      <c r="D223" s="190"/>
      <c r="E223" s="191" t="str">
        <f t="shared" si="41"/>
        <v>--</v>
      </c>
      <c r="F223" s="192"/>
      <c r="G223" s="197"/>
      <c r="H223" s="193"/>
      <c r="I223" s="193"/>
      <c r="J223" s="194"/>
      <c r="K223" s="195">
        <f t="shared" si="42"/>
        <v>31</v>
      </c>
      <c r="L223" s="195">
        <f t="shared" si="42"/>
        <v>31</v>
      </c>
      <c r="M223" s="190"/>
      <c r="N223" s="196"/>
      <c r="O223" s="197"/>
      <c r="P223" s="198" t="str">
        <f t="shared" si="40"/>
        <v/>
      </c>
    </row>
    <row r="224" spans="2:16" x14ac:dyDescent="0.35">
      <c r="B224" s="190"/>
      <c r="C224" s="190"/>
      <c r="D224" s="190"/>
      <c r="E224" s="191" t="str">
        <f t="shared" si="41"/>
        <v>--</v>
      </c>
      <c r="F224" s="192"/>
      <c r="G224" s="197"/>
      <c r="H224" s="193"/>
      <c r="I224" s="193"/>
      <c r="J224" s="194"/>
      <c r="K224" s="195">
        <f t="shared" si="42"/>
        <v>31</v>
      </c>
      <c r="L224" s="195">
        <f t="shared" si="42"/>
        <v>31</v>
      </c>
      <c r="M224" s="190"/>
      <c r="N224" s="196"/>
      <c r="O224" s="197"/>
      <c r="P224" s="198" t="str">
        <f t="shared" si="40"/>
        <v/>
      </c>
    </row>
    <row r="225" spans="2:16" x14ac:dyDescent="0.35">
      <c r="B225" s="190"/>
      <c r="C225" s="190"/>
      <c r="D225" s="190"/>
      <c r="E225" s="191" t="str">
        <f t="shared" si="41"/>
        <v>--</v>
      </c>
      <c r="F225" s="192"/>
      <c r="G225" s="197"/>
      <c r="H225" s="193"/>
      <c r="I225" s="193"/>
      <c r="J225" s="194"/>
      <c r="K225" s="195">
        <f t="shared" si="42"/>
        <v>31</v>
      </c>
      <c r="L225" s="195">
        <f t="shared" si="42"/>
        <v>31</v>
      </c>
      <c r="M225" s="190"/>
      <c r="N225" s="196"/>
      <c r="O225" s="197"/>
      <c r="P225" s="198" t="str">
        <f t="shared" si="40"/>
        <v/>
      </c>
    </row>
    <row r="226" spans="2:16" x14ac:dyDescent="0.35">
      <c r="B226" s="190"/>
      <c r="C226" s="190"/>
      <c r="D226" s="190"/>
      <c r="E226" s="191" t="str">
        <f t="shared" si="41"/>
        <v>--</v>
      </c>
      <c r="F226" s="192"/>
      <c r="G226" s="197"/>
      <c r="H226" s="193"/>
      <c r="I226" s="193"/>
      <c r="J226" s="194"/>
      <c r="K226" s="195">
        <f t="shared" si="42"/>
        <v>31</v>
      </c>
      <c r="L226" s="195">
        <f t="shared" si="42"/>
        <v>31</v>
      </c>
      <c r="M226" s="190"/>
      <c r="N226" s="196"/>
      <c r="O226" s="197"/>
      <c r="P226" s="198" t="str">
        <f t="shared" si="40"/>
        <v/>
      </c>
    </row>
    <row r="227" spans="2:16" x14ac:dyDescent="0.35">
      <c r="B227" s="190"/>
      <c r="C227" s="190"/>
      <c r="D227" s="190"/>
      <c r="E227" s="191" t="str">
        <f t="shared" si="41"/>
        <v>--</v>
      </c>
      <c r="F227" s="192"/>
      <c r="G227" s="197"/>
      <c r="H227" s="193"/>
      <c r="I227" s="193"/>
      <c r="J227" s="194"/>
      <c r="K227" s="195">
        <f t="shared" si="42"/>
        <v>31</v>
      </c>
      <c r="L227" s="195">
        <f t="shared" si="42"/>
        <v>31</v>
      </c>
      <c r="M227" s="190"/>
      <c r="N227" s="196"/>
      <c r="O227" s="197"/>
      <c r="P227" s="198" t="str">
        <f t="shared" si="40"/>
        <v/>
      </c>
    </row>
    <row r="228" spans="2:16" x14ac:dyDescent="0.35">
      <c r="B228" s="190"/>
      <c r="C228" s="190"/>
      <c r="D228" s="190"/>
      <c r="E228" s="191" t="str">
        <f t="shared" si="41"/>
        <v>--</v>
      </c>
      <c r="F228" s="192"/>
      <c r="G228" s="197"/>
      <c r="H228" s="193"/>
      <c r="I228" s="193"/>
      <c r="J228" s="194"/>
      <c r="K228" s="195">
        <f t="shared" si="42"/>
        <v>31</v>
      </c>
      <c r="L228" s="195">
        <f t="shared" si="42"/>
        <v>31</v>
      </c>
      <c r="M228" s="190"/>
      <c r="N228" s="196"/>
      <c r="O228" s="197"/>
      <c r="P228" s="198" t="str">
        <f t="shared" si="40"/>
        <v/>
      </c>
    </row>
    <row r="229" spans="2:16" x14ac:dyDescent="0.35">
      <c r="B229" s="190"/>
      <c r="C229" s="190"/>
      <c r="D229" s="190"/>
      <c r="E229" s="191" t="str">
        <f t="shared" si="41"/>
        <v>--</v>
      </c>
      <c r="F229" s="192"/>
      <c r="G229" s="197"/>
      <c r="H229" s="193"/>
      <c r="I229" s="193"/>
      <c r="J229" s="194"/>
      <c r="K229" s="195">
        <f t="shared" si="42"/>
        <v>31</v>
      </c>
      <c r="L229" s="195">
        <f t="shared" si="42"/>
        <v>31</v>
      </c>
      <c r="M229" s="190"/>
      <c r="N229" s="196"/>
      <c r="O229" s="197"/>
      <c r="P229" s="198" t="str">
        <f t="shared" si="40"/>
        <v/>
      </c>
    </row>
    <row r="230" spans="2:16" x14ac:dyDescent="0.35">
      <c r="B230" s="190"/>
      <c r="C230" s="190"/>
      <c r="D230" s="190"/>
      <c r="E230" s="191" t="str">
        <f t="shared" si="41"/>
        <v>--</v>
      </c>
      <c r="F230" s="192"/>
      <c r="G230" s="197"/>
      <c r="H230" s="193"/>
      <c r="I230" s="193"/>
      <c r="J230" s="194"/>
      <c r="K230" s="195">
        <f t="shared" si="42"/>
        <v>31</v>
      </c>
      <c r="L230" s="195">
        <f t="shared" si="42"/>
        <v>31</v>
      </c>
      <c r="M230" s="190"/>
      <c r="N230" s="196"/>
      <c r="O230" s="197"/>
      <c r="P230" s="198" t="str">
        <f t="shared" si="40"/>
        <v/>
      </c>
    </row>
    <row r="231" spans="2:16" x14ac:dyDescent="0.35">
      <c r="B231" s="190"/>
      <c r="C231" s="190"/>
      <c r="D231" s="190"/>
      <c r="E231" s="191" t="str">
        <f t="shared" si="41"/>
        <v>--</v>
      </c>
      <c r="F231" s="192"/>
      <c r="G231" s="197"/>
      <c r="H231" s="193"/>
      <c r="I231" s="193"/>
      <c r="J231" s="194"/>
      <c r="K231" s="195">
        <f t="shared" si="42"/>
        <v>31</v>
      </c>
      <c r="L231" s="195">
        <f t="shared" si="42"/>
        <v>31</v>
      </c>
      <c r="M231" s="190"/>
      <c r="N231" s="196"/>
      <c r="O231" s="197"/>
      <c r="P231" s="198" t="str">
        <f t="shared" si="40"/>
        <v/>
      </c>
    </row>
    <row r="232" spans="2:16" x14ac:dyDescent="0.35">
      <c r="B232" s="190"/>
      <c r="C232" s="190"/>
      <c r="D232" s="190"/>
      <c r="E232" s="191" t="str">
        <f t="shared" si="41"/>
        <v>--</v>
      </c>
      <c r="F232" s="192"/>
      <c r="G232" s="190"/>
      <c r="H232" s="193"/>
      <c r="I232" s="193"/>
      <c r="J232" s="194"/>
      <c r="K232" s="195">
        <f t="shared" si="42"/>
        <v>31</v>
      </c>
      <c r="L232" s="195">
        <f t="shared" si="42"/>
        <v>31</v>
      </c>
      <c r="M232" s="190"/>
      <c r="N232" s="196"/>
      <c r="O232" s="197"/>
      <c r="P232" s="198" t="str">
        <f t="shared" si="40"/>
        <v/>
      </c>
    </row>
    <row r="233" spans="2:16" x14ac:dyDescent="0.35">
      <c r="B233" s="190"/>
      <c r="C233" s="190"/>
      <c r="D233" s="190"/>
      <c r="E233" s="191" t="str">
        <f t="shared" si="41"/>
        <v>--</v>
      </c>
      <c r="F233" s="192"/>
      <c r="G233" s="190"/>
      <c r="H233" s="193"/>
      <c r="I233" s="193"/>
      <c r="J233" s="194"/>
      <c r="K233" s="195">
        <f t="shared" si="42"/>
        <v>31</v>
      </c>
      <c r="L233" s="195">
        <f t="shared" si="42"/>
        <v>31</v>
      </c>
      <c r="M233" s="190"/>
      <c r="N233" s="196"/>
      <c r="O233" s="197"/>
      <c r="P233" s="198" t="str">
        <f t="shared" si="40"/>
        <v/>
      </c>
    </row>
    <row r="234" spans="2:16" x14ac:dyDescent="0.35">
      <c r="B234" s="190"/>
      <c r="C234" s="190"/>
      <c r="D234" s="190"/>
      <c r="E234" s="191" t="str">
        <f t="shared" si="41"/>
        <v>--</v>
      </c>
      <c r="F234" s="192"/>
      <c r="G234" s="190"/>
      <c r="H234" s="193"/>
      <c r="I234" s="193"/>
      <c r="J234" s="194"/>
      <c r="K234" s="195">
        <f t="shared" si="42"/>
        <v>31</v>
      </c>
      <c r="L234" s="195">
        <f t="shared" si="42"/>
        <v>31</v>
      </c>
      <c r="M234" s="190"/>
      <c r="N234" s="196"/>
      <c r="O234" s="197"/>
      <c r="P234" s="198" t="str">
        <f t="shared" si="40"/>
        <v/>
      </c>
    </row>
    <row r="235" spans="2:16" x14ac:dyDescent="0.35">
      <c r="B235" s="190"/>
      <c r="C235" s="190"/>
      <c r="D235" s="190"/>
      <c r="E235" s="191" t="str">
        <f t="shared" si="41"/>
        <v>--</v>
      </c>
      <c r="F235" s="192"/>
      <c r="G235" s="190"/>
      <c r="H235" s="193"/>
      <c r="I235" s="193"/>
      <c r="J235" s="194"/>
      <c r="K235" s="195">
        <f t="shared" si="42"/>
        <v>31</v>
      </c>
      <c r="L235" s="195">
        <f t="shared" si="42"/>
        <v>31</v>
      </c>
      <c r="M235" s="190"/>
      <c r="N235" s="196"/>
      <c r="O235" s="197"/>
      <c r="P235" s="198" t="str">
        <f t="shared" si="40"/>
        <v/>
      </c>
    </row>
    <row r="236" spans="2:16" x14ac:dyDescent="0.35">
      <c r="B236" s="190"/>
      <c r="C236" s="190"/>
      <c r="D236" s="190"/>
      <c r="E236" s="191" t="str">
        <f t="shared" si="41"/>
        <v>--</v>
      </c>
      <c r="F236" s="192"/>
      <c r="G236" s="190"/>
      <c r="H236" s="193"/>
      <c r="I236" s="193"/>
      <c r="J236" s="194"/>
      <c r="K236" s="195">
        <f t="shared" si="42"/>
        <v>31</v>
      </c>
      <c r="L236" s="195">
        <f t="shared" si="42"/>
        <v>31</v>
      </c>
      <c r="M236" s="190"/>
      <c r="N236" s="196"/>
      <c r="O236" s="197"/>
      <c r="P236" s="198" t="str">
        <f t="shared" si="40"/>
        <v/>
      </c>
    </row>
    <row r="237" spans="2:16" x14ac:dyDescent="0.35">
      <c r="B237" s="190"/>
      <c r="C237" s="190"/>
      <c r="D237" s="190"/>
      <c r="E237" s="191" t="str">
        <f t="shared" si="41"/>
        <v>--</v>
      </c>
      <c r="F237" s="192"/>
      <c r="G237" s="190"/>
      <c r="H237" s="193"/>
      <c r="I237" s="193"/>
      <c r="J237" s="194"/>
      <c r="K237" s="195">
        <f t="shared" si="42"/>
        <v>31</v>
      </c>
      <c r="L237" s="195">
        <f t="shared" si="42"/>
        <v>31</v>
      </c>
      <c r="M237" s="190"/>
      <c r="N237" s="196"/>
      <c r="O237" s="197"/>
      <c r="P237" s="198" t="str">
        <f t="shared" si="40"/>
        <v/>
      </c>
    </row>
    <row r="238" spans="2:16" x14ac:dyDescent="0.35">
      <c r="B238" s="190"/>
      <c r="C238" s="190"/>
      <c r="D238" s="190"/>
      <c r="E238" s="191" t="str">
        <f t="shared" si="41"/>
        <v>--</v>
      </c>
      <c r="F238" s="192"/>
      <c r="G238" s="190"/>
      <c r="H238" s="193"/>
      <c r="I238" s="193"/>
      <c r="J238" s="194"/>
      <c r="K238" s="195">
        <f t="shared" si="42"/>
        <v>31</v>
      </c>
      <c r="L238" s="195">
        <f t="shared" si="42"/>
        <v>31</v>
      </c>
      <c r="M238" s="190"/>
      <c r="N238" s="196"/>
      <c r="O238" s="197"/>
      <c r="P238" s="198" t="str">
        <f t="shared" si="40"/>
        <v/>
      </c>
    </row>
    <row r="239" spans="2:16" x14ac:dyDescent="0.35">
      <c r="B239" s="190"/>
      <c r="C239" s="190"/>
      <c r="D239" s="190"/>
      <c r="E239" s="191" t="str">
        <f t="shared" si="41"/>
        <v>--</v>
      </c>
      <c r="F239" s="192"/>
      <c r="G239" s="190"/>
      <c r="H239" s="193"/>
      <c r="I239" s="193"/>
      <c r="J239" s="194"/>
      <c r="K239" s="195">
        <f t="shared" si="42"/>
        <v>31</v>
      </c>
      <c r="L239" s="195">
        <f t="shared" si="42"/>
        <v>31</v>
      </c>
      <c r="M239" s="190"/>
      <c r="N239" s="196"/>
      <c r="O239" s="197"/>
      <c r="P239" s="198" t="str">
        <f t="shared" si="40"/>
        <v/>
      </c>
    </row>
    <row r="240" spans="2:16" x14ac:dyDescent="0.35">
      <c r="B240" s="190"/>
      <c r="C240" s="190"/>
      <c r="D240" s="190"/>
      <c r="E240" s="191" t="str">
        <f t="shared" si="41"/>
        <v>--</v>
      </c>
      <c r="F240" s="192"/>
      <c r="G240" s="190"/>
      <c r="H240" s="193"/>
      <c r="I240" s="193"/>
      <c r="J240" s="194"/>
      <c r="K240" s="195">
        <f t="shared" si="42"/>
        <v>31</v>
      </c>
      <c r="L240" s="195">
        <f t="shared" si="42"/>
        <v>31</v>
      </c>
      <c r="M240" s="190"/>
      <c r="N240" s="196"/>
      <c r="O240" s="197"/>
      <c r="P240" s="198" t="str">
        <f t="shared" si="40"/>
        <v/>
      </c>
    </row>
    <row r="241" spans="2:16" x14ac:dyDescent="0.35">
      <c r="B241" s="190"/>
      <c r="C241" s="190"/>
      <c r="D241" s="190"/>
      <c r="E241" s="191" t="str">
        <f t="shared" si="41"/>
        <v>--</v>
      </c>
      <c r="F241" s="192"/>
      <c r="G241" s="190"/>
      <c r="H241" s="193"/>
      <c r="I241" s="193"/>
      <c r="J241" s="194"/>
      <c r="K241" s="195">
        <f t="shared" si="42"/>
        <v>31</v>
      </c>
      <c r="L241" s="195">
        <f t="shared" si="42"/>
        <v>31</v>
      </c>
      <c r="M241" s="190"/>
      <c r="N241" s="196"/>
      <c r="O241" s="197"/>
      <c r="P241" s="198" t="str">
        <f t="shared" si="40"/>
        <v/>
      </c>
    </row>
    <row r="242" spans="2:16" x14ac:dyDescent="0.35">
      <c r="B242" s="190"/>
      <c r="C242" s="190"/>
      <c r="D242" s="190"/>
      <c r="E242" s="191" t="str">
        <f t="shared" si="41"/>
        <v>--</v>
      </c>
      <c r="F242" s="192"/>
      <c r="G242" s="190"/>
      <c r="H242" s="193"/>
      <c r="I242" s="193"/>
      <c r="J242" s="194"/>
      <c r="K242" s="195">
        <f t="shared" si="42"/>
        <v>31</v>
      </c>
      <c r="L242" s="195">
        <f t="shared" si="42"/>
        <v>31</v>
      </c>
      <c r="M242" s="190"/>
      <c r="N242" s="196"/>
      <c r="O242" s="197"/>
      <c r="P242" s="198" t="str">
        <f t="shared" si="40"/>
        <v/>
      </c>
    </row>
    <row r="243" spans="2:16" x14ac:dyDescent="0.35">
      <c r="B243" s="190"/>
      <c r="C243" s="190"/>
      <c r="D243" s="190"/>
      <c r="E243" s="191" t="str">
        <f t="shared" si="41"/>
        <v>--</v>
      </c>
      <c r="F243" s="192"/>
      <c r="G243" s="190"/>
      <c r="H243" s="193"/>
      <c r="I243" s="193"/>
      <c r="J243" s="194"/>
      <c r="K243" s="195">
        <f t="shared" si="42"/>
        <v>31</v>
      </c>
      <c r="L243" s="195">
        <f t="shared" si="42"/>
        <v>31</v>
      </c>
      <c r="M243" s="190"/>
      <c r="N243" s="196"/>
      <c r="O243" s="197"/>
      <c r="P243" s="198" t="str">
        <f t="shared" si="40"/>
        <v/>
      </c>
    </row>
    <row r="244" spans="2:16" x14ac:dyDescent="0.35">
      <c r="B244" s="190"/>
      <c r="C244" s="190"/>
      <c r="D244" s="190"/>
      <c r="E244" s="191" t="str">
        <f t="shared" si="41"/>
        <v>--</v>
      </c>
      <c r="F244" s="192"/>
      <c r="G244" s="190"/>
      <c r="H244" s="193"/>
      <c r="I244" s="193"/>
      <c r="J244" s="194"/>
      <c r="K244" s="195">
        <f t="shared" si="42"/>
        <v>31</v>
      </c>
      <c r="L244" s="195">
        <f t="shared" si="42"/>
        <v>31</v>
      </c>
      <c r="M244" s="190"/>
      <c r="N244" s="196"/>
      <c r="O244" s="197"/>
      <c r="P244" s="198" t="str">
        <f t="shared" si="40"/>
        <v/>
      </c>
    </row>
    <row r="245" spans="2:16" x14ac:dyDescent="0.35">
      <c r="B245" s="190"/>
      <c r="C245" s="190"/>
      <c r="D245" s="190"/>
      <c r="E245" s="191" t="str">
        <f t="shared" si="41"/>
        <v>--</v>
      </c>
      <c r="F245" s="192"/>
      <c r="G245" s="190"/>
      <c r="H245" s="193"/>
      <c r="I245" s="193"/>
      <c r="J245" s="194"/>
      <c r="K245" s="195">
        <f t="shared" si="42"/>
        <v>31</v>
      </c>
      <c r="L245" s="195">
        <f t="shared" si="42"/>
        <v>31</v>
      </c>
      <c r="M245" s="190"/>
      <c r="N245" s="196"/>
      <c r="O245" s="197"/>
      <c r="P245" s="198" t="str">
        <f t="shared" si="40"/>
        <v/>
      </c>
    </row>
    <row r="246" spans="2:16" x14ac:dyDescent="0.35">
      <c r="B246" s="190"/>
      <c r="C246" s="190"/>
      <c r="D246" s="190"/>
      <c r="E246" s="191" t="str">
        <f t="shared" si="41"/>
        <v>--</v>
      </c>
      <c r="F246" s="192"/>
      <c r="G246" s="190"/>
      <c r="H246" s="193"/>
      <c r="I246" s="193"/>
      <c r="J246" s="194"/>
      <c r="K246" s="195">
        <f t="shared" si="42"/>
        <v>31</v>
      </c>
      <c r="L246" s="195">
        <f t="shared" si="42"/>
        <v>31</v>
      </c>
      <c r="M246" s="190"/>
      <c r="N246" s="196"/>
      <c r="O246" s="197"/>
      <c r="P246" s="198" t="str">
        <f t="shared" si="40"/>
        <v/>
      </c>
    </row>
    <row r="247" spans="2:16" x14ac:dyDescent="0.35">
      <c r="B247" s="190"/>
      <c r="C247" s="190"/>
      <c r="D247" s="190"/>
      <c r="E247" s="191" t="str">
        <f t="shared" si="41"/>
        <v>--</v>
      </c>
      <c r="F247" s="192"/>
      <c r="G247" s="190"/>
      <c r="H247" s="193"/>
      <c r="I247" s="193"/>
      <c r="J247" s="194"/>
      <c r="K247" s="195">
        <f t="shared" si="42"/>
        <v>31</v>
      </c>
      <c r="L247" s="195">
        <f t="shared" si="42"/>
        <v>31</v>
      </c>
      <c r="M247" s="190"/>
      <c r="N247" s="196"/>
      <c r="O247" s="197"/>
      <c r="P247" s="198" t="str">
        <f t="shared" si="40"/>
        <v/>
      </c>
    </row>
    <row r="248" spans="2:16" x14ac:dyDescent="0.35">
      <c r="B248" s="190"/>
      <c r="C248" s="190"/>
      <c r="D248" s="190"/>
      <c r="E248" s="191" t="str">
        <f t="shared" si="41"/>
        <v>--</v>
      </c>
      <c r="F248" s="192"/>
      <c r="G248" s="190"/>
      <c r="H248" s="193"/>
      <c r="I248" s="193"/>
      <c r="J248" s="194"/>
      <c r="K248" s="195">
        <f t="shared" si="42"/>
        <v>31</v>
      </c>
      <c r="L248" s="195">
        <f t="shared" si="42"/>
        <v>31</v>
      </c>
      <c r="M248" s="190"/>
      <c r="N248" s="196"/>
      <c r="O248" s="197"/>
      <c r="P248" s="198" t="str">
        <f t="shared" si="40"/>
        <v/>
      </c>
    </row>
    <row r="249" spans="2:16" x14ac:dyDescent="0.35">
      <c r="B249" s="190"/>
      <c r="C249" s="190"/>
      <c r="D249" s="190"/>
      <c r="E249" s="191" t="str">
        <f t="shared" si="41"/>
        <v>--</v>
      </c>
      <c r="F249" s="192"/>
      <c r="G249" s="190"/>
      <c r="H249" s="193"/>
      <c r="I249" s="193"/>
      <c r="J249" s="194"/>
      <c r="K249" s="195">
        <f t="shared" si="42"/>
        <v>31</v>
      </c>
      <c r="L249" s="195">
        <f t="shared" si="42"/>
        <v>31</v>
      </c>
      <c r="M249" s="190"/>
      <c r="N249" s="196"/>
      <c r="O249" s="197"/>
      <c r="P249" s="198" t="str">
        <f t="shared" si="40"/>
        <v/>
      </c>
    </row>
    <row r="250" spans="2:16" x14ac:dyDescent="0.35">
      <c r="B250" s="190"/>
      <c r="C250" s="190"/>
      <c r="D250" s="190"/>
      <c r="E250" s="191" t="str">
        <f t="shared" si="41"/>
        <v>--</v>
      </c>
      <c r="F250" s="192"/>
      <c r="G250" s="197"/>
      <c r="H250" s="193"/>
      <c r="I250" s="193"/>
      <c r="J250" s="194"/>
      <c r="K250" s="195">
        <f t="shared" si="42"/>
        <v>31</v>
      </c>
      <c r="L250" s="195">
        <f t="shared" si="42"/>
        <v>31</v>
      </c>
      <c r="M250" s="190"/>
      <c r="N250" s="196"/>
      <c r="O250" s="197"/>
      <c r="P250" s="198" t="str">
        <f t="shared" si="40"/>
        <v/>
      </c>
    </row>
    <row r="251" spans="2:16" x14ac:dyDescent="0.35">
      <c r="B251" s="190"/>
      <c r="C251" s="190"/>
      <c r="D251" s="190"/>
      <c r="E251" s="191" t="str">
        <f t="shared" si="41"/>
        <v>--</v>
      </c>
      <c r="F251" s="192"/>
      <c r="G251" s="197"/>
      <c r="H251" s="193"/>
      <c r="I251" s="193"/>
      <c r="J251" s="194"/>
      <c r="K251" s="195">
        <f t="shared" si="42"/>
        <v>31</v>
      </c>
      <c r="L251" s="195">
        <f t="shared" si="42"/>
        <v>31</v>
      </c>
      <c r="M251" s="190"/>
      <c r="N251" s="196"/>
      <c r="O251" s="197"/>
      <c r="P251" s="198" t="str">
        <f t="shared" si="40"/>
        <v/>
      </c>
    </row>
    <row r="252" spans="2:16" x14ac:dyDescent="0.35">
      <c r="B252" s="190"/>
      <c r="C252" s="190"/>
      <c r="D252" s="190"/>
      <c r="E252" s="191" t="str">
        <f t="shared" si="41"/>
        <v>--</v>
      </c>
      <c r="F252" s="192"/>
      <c r="G252" s="197"/>
      <c r="H252" s="193"/>
      <c r="I252" s="193"/>
      <c r="J252" s="194"/>
      <c r="K252" s="195">
        <f t="shared" si="42"/>
        <v>31</v>
      </c>
      <c r="L252" s="195">
        <f t="shared" si="42"/>
        <v>31</v>
      </c>
      <c r="M252" s="190"/>
      <c r="N252" s="196"/>
      <c r="O252" s="197"/>
      <c r="P252" s="198" t="str">
        <f t="shared" si="40"/>
        <v/>
      </c>
    </row>
    <row r="253" spans="2:16" x14ac:dyDescent="0.35">
      <c r="B253" s="190"/>
      <c r="C253" s="190"/>
      <c r="D253" s="190"/>
      <c r="E253" s="191" t="str">
        <f t="shared" si="41"/>
        <v>--</v>
      </c>
      <c r="F253" s="192"/>
      <c r="G253" s="197"/>
      <c r="H253" s="193"/>
      <c r="I253" s="193"/>
      <c r="J253" s="194"/>
      <c r="K253" s="195">
        <f t="shared" si="42"/>
        <v>31</v>
      </c>
      <c r="L253" s="195">
        <f t="shared" si="42"/>
        <v>31</v>
      </c>
      <c r="M253" s="190"/>
      <c r="N253" s="196"/>
      <c r="O253" s="197"/>
      <c r="P253" s="198" t="str">
        <f t="shared" si="40"/>
        <v/>
      </c>
    </row>
    <row r="254" spans="2:16" x14ac:dyDescent="0.35">
      <c r="B254" s="190"/>
      <c r="C254" s="190"/>
      <c r="D254" s="190"/>
      <c r="E254" s="191" t="str">
        <f t="shared" si="41"/>
        <v>--</v>
      </c>
      <c r="F254" s="192"/>
      <c r="G254" s="197"/>
      <c r="H254" s="193"/>
      <c r="I254" s="193"/>
      <c r="J254" s="194"/>
      <c r="K254" s="195">
        <f t="shared" si="42"/>
        <v>31</v>
      </c>
      <c r="L254" s="195">
        <f t="shared" si="42"/>
        <v>31</v>
      </c>
      <c r="M254" s="190"/>
      <c r="N254" s="196"/>
      <c r="O254" s="197"/>
      <c r="P254" s="198" t="str">
        <f t="shared" si="40"/>
        <v/>
      </c>
    </row>
    <row r="255" spans="2:16" x14ac:dyDescent="0.35">
      <c r="B255" s="190"/>
      <c r="C255" s="190"/>
      <c r="D255" s="190"/>
      <c r="E255" s="191" t="str">
        <f t="shared" si="41"/>
        <v>--</v>
      </c>
      <c r="F255" s="192"/>
      <c r="G255" s="197"/>
      <c r="H255" s="193"/>
      <c r="I255" s="193"/>
      <c r="J255" s="194"/>
      <c r="K255" s="195">
        <f t="shared" si="42"/>
        <v>31</v>
      </c>
      <c r="L255" s="195">
        <f t="shared" si="42"/>
        <v>31</v>
      </c>
      <c r="M255" s="190"/>
      <c r="N255" s="196"/>
      <c r="O255" s="197"/>
      <c r="P255" s="198" t="str">
        <f t="shared" si="40"/>
        <v/>
      </c>
    </row>
    <row r="256" spans="2:16" x14ac:dyDescent="0.35">
      <c r="B256" s="190"/>
      <c r="C256" s="190"/>
      <c r="D256" s="190"/>
      <c r="E256" s="191" t="str">
        <f t="shared" si="41"/>
        <v>--</v>
      </c>
      <c r="F256" s="192"/>
      <c r="G256" s="190"/>
      <c r="H256" s="193"/>
      <c r="I256" s="193"/>
      <c r="J256" s="194"/>
      <c r="K256" s="195">
        <f t="shared" si="42"/>
        <v>31</v>
      </c>
      <c r="L256" s="195">
        <f t="shared" si="42"/>
        <v>31</v>
      </c>
      <c r="M256" s="190"/>
      <c r="N256" s="196"/>
      <c r="O256" s="197"/>
      <c r="P256" s="198" t="str">
        <f t="shared" si="40"/>
        <v/>
      </c>
    </row>
    <row r="257" spans="2:16" x14ac:dyDescent="0.35">
      <c r="B257" s="190"/>
      <c r="C257" s="190"/>
      <c r="D257" s="190"/>
      <c r="E257" s="191" t="str">
        <f t="shared" si="41"/>
        <v>--</v>
      </c>
      <c r="F257" s="192"/>
      <c r="G257" s="190"/>
      <c r="H257" s="193"/>
      <c r="I257" s="193"/>
      <c r="J257" s="194"/>
      <c r="K257" s="195">
        <f t="shared" si="42"/>
        <v>31</v>
      </c>
      <c r="L257" s="195">
        <f t="shared" si="42"/>
        <v>31</v>
      </c>
      <c r="M257" s="190"/>
      <c r="N257" s="196"/>
      <c r="O257" s="197"/>
      <c r="P257" s="198" t="str">
        <f t="shared" si="40"/>
        <v/>
      </c>
    </row>
    <row r="258" spans="2:16" x14ac:dyDescent="0.35">
      <c r="B258" s="190"/>
      <c r="C258" s="190"/>
      <c r="D258" s="190"/>
      <c r="E258" s="191" t="str">
        <f t="shared" si="41"/>
        <v>--</v>
      </c>
      <c r="F258" s="192"/>
      <c r="G258" s="190"/>
      <c r="H258" s="193"/>
      <c r="I258" s="193"/>
      <c r="J258" s="194"/>
      <c r="K258" s="195">
        <f t="shared" si="42"/>
        <v>31</v>
      </c>
      <c r="L258" s="195">
        <f t="shared" si="42"/>
        <v>31</v>
      </c>
      <c r="M258" s="190"/>
      <c r="N258" s="196"/>
      <c r="O258" s="197"/>
      <c r="P258" s="198" t="str">
        <f t="shared" si="40"/>
        <v/>
      </c>
    </row>
    <row r="259" spans="2:16" x14ac:dyDescent="0.35">
      <c r="B259" s="190"/>
      <c r="C259" s="190"/>
      <c r="D259" s="190"/>
      <c r="E259" s="191" t="str">
        <f t="shared" si="41"/>
        <v>--</v>
      </c>
      <c r="F259" s="192"/>
      <c r="G259" s="190"/>
      <c r="H259" s="193"/>
      <c r="I259" s="193"/>
      <c r="J259" s="194"/>
      <c r="K259" s="195">
        <f t="shared" si="42"/>
        <v>31</v>
      </c>
      <c r="L259" s="195">
        <f t="shared" si="42"/>
        <v>31</v>
      </c>
      <c r="M259" s="190"/>
      <c r="N259" s="196"/>
      <c r="O259" s="197"/>
      <c r="P259" s="198" t="str">
        <f t="shared" si="40"/>
        <v/>
      </c>
    </row>
    <row r="260" spans="2:16" x14ac:dyDescent="0.35">
      <c r="B260" s="190"/>
      <c r="C260" s="190"/>
      <c r="D260" s="190"/>
      <c r="E260" s="191" t="str">
        <f t="shared" si="41"/>
        <v>--</v>
      </c>
      <c r="F260" s="192"/>
      <c r="G260" s="190"/>
      <c r="H260" s="193"/>
      <c r="I260" s="193"/>
      <c r="J260" s="194"/>
      <c r="K260" s="195">
        <f t="shared" si="42"/>
        <v>31</v>
      </c>
      <c r="L260" s="195">
        <f t="shared" si="42"/>
        <v>31</v>
      </c>
      <c r="M260" s="190"/>
      <c r="N260" s="196"/>
      <c r="O260" s="197"/>
      <c r="P260" s="198" t="str">
        <f t="shared" si="40"/>
        <v/>
      </c>
    </row>
    <row r="261" spans="2:16" x14ac:dyDescent="0.35">
      <c r="B261" s="190"/>
      <c r="C261" s="190"/>
      <c r="D261" s="190"/>
      <c r="E261" s="191" t="str">
        <f t="shared" si="41"/>
        <v>--</v>
      </c>
      <c r="F261" s="192"/>
      <c r="G261" s="190"/>
      <c r="H261" s="193"/>
      <c r="I261" s="193"/>
      <c r="J261" s="194"/>
      <c r="K261" s="195">
        <f t="shared" si="42"/>
        <v>31</v>
      </c>
      <c r="L261" s="195">
        <f t="shared" si="42"/>
        <v>31</v>
      </c>
      <c r="M261" s="190"/>
      <c r="N261" s="196"/>
      <c r="O261" s="197"/>
      <c r="P261" s="198" t="str">
        <f t="shared" si="40"/>
        <v/>
      </c>
    </row>
    <row r="262" spans="2:16" x14ac:dyDescent="0.35">
      <c r="B262" s="190"/>
      <c r="C262" s="190"/>
      <c r="D262" s="190"/>
      <c r="E262" s="191" t="str">
        <f t="shared" si="41"/>
        <v>--</v>
      </c>
      <c r="F262" s="192"/>
      <c r="G262" s="190"/>
      <c r="H262" s="193"/>
      <c r="I262" s="193"/>
      <c r="J262" s="194"/>
      <c r="K262" s="195">
        <f t="shared" si="42"/>
        <v>31</v>
      </c>
      <c r="L262" s="195">
        <f t="shared" si="42"/>
        <v>31</v>
      </c>
      <c r="M262" s="190"/>
      <c r="N262" s="196"/>
      <c r="O262" s="197"/>
      <c r="P262" s="198" t="str">
        <f t="shared" si="40"/>
        <v/>
      </c>
    </row>
    <row r="263" spans="2:16" x14ac:dyDescent="0.35">
      <c r="B263" s="190"/>
      <c r="C263" s="190"/>
      <c r="D263" s="190"/>
      <c r="E263" s="191" t="str">
        <f t="shared" si="41"/>
        <v>--</v>
      </c>
      <c r="F263" s="192"/>
      <c r="G263" s="190"/>
      <c r="H263" s="193"/>
      <c r="I263" s="193"/>
      <c r="J263" s="194"/>
      <c r="K263" s="195">
        <f t="shared" si="42"/>
        <v>31</v>
      </c>
      <c r="L263" s="195">
        <f t="shared" si="42"/>
        <v>31</v>
      </c>
      <c r="M263" s="190"/>
      <c r="N263" s="196"/>
      <c r="O263" s="197"/>
      <c r="P263" s="198" t="str">
        <f t="shared" si="40"/>
        <v/>
      </c>
    </row>
    <row r="264" spans="2:16" x14ac:dyDescent="0.35">
      <c r="B264" s="190"/>
      <c r="C264" s="190"/>
      <c r="D264" s="190"/>
      <c r="E264" s="191" t="str">
        <f t="shared" si="41"/>
        <v>--</v>
      </c>
      <c r="F264" s="192"/>
      <c r="G264" s="190"/>
      <c r="H264" s="193"/>
      <c r="I264" s="193"/>
      <c r="J264" s="194"/>
      <c r="K264" s="195">
        <f t="shared" si="42"/>
        <v>31</v>
      </c>
      <c r="L264" s="195">
        <f t="shared" si="42"/>
        <v>31</v>
      </c>
      <c r="M264" s="190"/>
      <c r="N264" s="196"/>
      <c r="O264" s="197"/>
      <c r="P264" s="198" t="str">
        <f t="shared" ref="P264:P327" si="43">IF(H264="","",IF(($C$5-H264)/365&gt;1.5,"Renewed Lease","New Lease"))</f>
        <v/>
      </c>
    </row>
    <row r="265" spans="2:16" x14ac:dyDescent="0.35">
      <c r="B265" s="190"/>
      <c r="C265" s="190"/>
      <c r="D265" s="190"/>
      <c r="E265" s="191" t="str">
        <f t="shared" ref="E265:E289" si="44">F265&amp;"-"&amp;D265&amp;"-"&amp;C265</f>
        <v>--</v>
      </c>
      <c r="F265" s="192"/>
      <c r="G265" s="190"/>
      <c r="H265" s="193"/>
      <c r="I265" s="193"/>
      <c r="J265" s="194"/>
      <c r="K265" s="195">
        <f t="shared" si="42"/>
        <v>31</v>
      </c>
      <c r="L265" s="195">
        <f t="shared" si="42"/>
        <v>31</v>
      </c>
      <c r="M265" s="190"/>
      <c r="N265" s="196"/>
      <c r="O265" s="197"/>
      <c r="P265" s="198" t="str">
        <f t="shared" si="43"/>
        <v/>
      </c>
    </row>
    <row r="266" spans="2:16" x14ac:dyDescent="0.35">
      <c r="B266" s="190"/>
      <c r="C266" s="190"/>
      <c r="D266" s="190"/>
      <c r="E266" s="191" t="str">
        <f t="shared" si="44"/>
        <v>--</v>
      </c>
      <c r="F266" s="192"/>
      <c r="G266" s="190"/>
      <c r="H266" s="193"/>
      <c r="I266" s="193"/>
      <c r="J266" s="194"/>
      <c r="K266" s="195">
        <f t="shared" si="42"/>
        <v>31</v>
      </c>
      <c r="L266" s="195">
        <f t="shared" si="42"/>
        <v>31</v>
      </c>
      <c r="M266" s="190"/>
      <c r="N266" s="196"/>
      <c r="O266" s="197"/>
      <c r="P266" s="198" t="str">
        <f t="shared" si="43"/>
        <v/>
      </c>
    </row>
    <row r="267" spans="2:16" x14ac:dyDescent="0.35">
      <c r="B267" s="190"/>
      <c r="C267" s="190"/>
      <c r="D267" s="190"/>
      <c r="E267" s="191" t="str">
        <f t="shared" si="44"/>
        <v>--</v>
      </c>
      <c r="F267" s="192"/>
      <c r="G267" s="190"/>
      <c r="H267" s="193"/>
      <c r="I267" s="193"/>
      <c r="J267" s="194"/>
      <c r="K267" s="195">
        <f t="shared" si="42"/>
        <v>31</v>
      </c>
      <c r="L267" s="195">
        <f t="shared" si="42"/>
        <v>31</v>
      </c>
      <c r="M267" s="190"/>
      <c r="N267" s="196"/>
      <c r="O267" s="197"/>
      <c r="P267" s="198" t="str">
        <f t="shared" si="43"/>
        <v/>
      </c>
    </row>
    <row r="268" spans="2:16" x14ac:dyDescent="0.35">
      <c r="B268" s="190"/>
      <c r="C268" s="190"/>
      <c r="D268" s="190"/>
      <c r="E268" s="191" t="str">
        <f t="shared" si="44"/>
        <v>--</v>
      </c>
      <c r="F268" s="192"/>
      <c r="G268" s="190"/>
      <c r="H268" s="193"/>
      <c r="I268" s="193"/>
      <c r="J268" s="194"/>
      <c r="K268" s="195">
        <f t="shared" si="42"/>
        <v>31</v>
      </c>
      <c r="L268" s="195">
        <f t="shared" si="42"/>
        <v>31</v>
      </c>
      <c r="M268" s="190"/>
      <c r="N268" s="196"/>
      <c r="O268" s="197"/>
      <c r="P268" s="198" t="str">
        <f t="shared" si="43"/>
        <v/>
      </c>
    </row>
    <row r="269" spans="2:16" x14ac:dyDescent="0.35">
      <c r="B269" s="190"/>
      <c r="C269" s="190"/>
      <c r="D269" s="190"/>
      <c r="E269" s="191" t="str">
        <f t="shared" si="44"/>
        <v>--</v>
      </c>
      <c r="F269" s="192"/>
      <c r="G269" s="190"/>
      <c r="H269" s="193"/>
      <c r="I269" s="193"/>
      <c r="J269" s="194"/>
      <c r="K269" s="195">
        <f t="shared" si="42"/>
        <v>31</v>
      </c>
      <c r="L269" s="195">
        <f t="shared" si="42"/>
        <v>31</v>
      </c>
      <c r="M269" s="190"/>
      <c r="N269" s="196"/>
      <c r="O269" s="197"/>
      <c r="P269" s="198" t="str">
        <f t="shared" si="43"/>
        <v/>
      </c>
    </row>
    <row r="270" spans="2:16" x14ac:dyDescent="0.35">
      <c r="B270" s="190"/>
      <c r="C270" s="190"/>
      <c r="D270" s="190"/>
      <c r="E270" s="191" t="str">
        <f t="shared" si="44"/>
        <v>--</v>
      </c>
      <c r="F270" s="192"/>
      <c r="G270" s="190"/>
      <c r="H270" s="193"/>
      <c r="I270" s="193"/>
      <c r="J270" s="194"/>
      <c r="K270" s="195">
        <f t="shared" si="42"/>
        <v>31</v>
      </c>
      <c r="L270" s="195">
        <f t="shared" si="42"/>
        <v>31</v>
      </c>
      <c r="M270" s="190"/>
      <c r="N270" s="196"/>
      <c r="O270" s="197"/>
      <c r="P270" s="198" t="str">
        <f t="shared" si="43"/>
        <v/>
      </c>
    </row>
    <row r="271" spans="2:16" x14ac:dyDescent="0.35">
      <c r="B271" s="190"/>
      <c r="C271" s="190"/>
      <c r="D271" s="190"/>
      <c r="E271" s="191" t="str">
        <f t="shared" si="44"/>
        <v>--</v>
      </c>
      <c r="F271" s="192"/>
      <c r="G271" s="190"/>
      <c r="H271" s="193"/>
      <c r="I271" s="193"/>
      <c r="J271" s="194"/>
      <c r="K271" s="195">
        <f t="shared" si="42"/>
        <v>31</v>
      </c>
      <c r="L271" s="195">
        <f t="shared" si="42"/>
        <v>31</v>
      </c>
      <c r="M271" s="190"/>
      <c r="N271" s="196"/>
      <c r="O271" s="197"/>
      <c r="P271" s="198" t="str">
        <f t="shared" si="43"/>
        <v/>
      </c>
    </row>
    <row r="272" spans="2:16" x14ac:dyDescent="0.35">
      <c r="B272" s="190"/>
      <c r="C272" s="190"/>
      <c r="D272" s="190"/>
      <c r="E272" s="191" t="str">
        <f t="shared" si="44"/>
        <v>--</v>
      </c>
      <c r="F272" s="192"/>
      <c r="G272" s="190"/>
      <c r="H272" s="193"/>
      <c r="I272" s="193"/>
      <c r="J272" s="194"/>
      <c r="K272" s="195">
        <f t="shared" si="42"/>
        <v>31</v>
      </c>
      <c r="L272" s="195">
        <f t="shared" si="42"/>
        <v>31</v>
      </c>
      <c r="M272" s="190"/>
      <c r="N272" s="196"/>
      <c r="O272" s="197"/>
      <c r="P272" s="198" t="str">
        <f t="shared" si="43"/>
        <v/>
      </c>
    </row>
    <row r="273" spans="2:16" x14ac:dyDescent="0.35">
      <c r="B273" s="190"/>
      <c r="C273" s="190"/>
      <c r="D273" s="190"/>
      <c r="E273" s="191" t="str">
        <f t="shared" si="44"/>
        <v>--</v>
      </c>
      <c r="F273" s="192"/>
      <c r="G273" s="190"/>
      <c r="H273" s="193"/>
      <c r="I273" s="193"/>
      <c r="J273" s="194"/>
      <c r="K273" s="195">
        <f t="shared" ref="K273:L336" si="45">EOMONTH(I273,0)</f>
        <v>31</v>
      </c>
      <c r="L273" s="195">
        <f t="shared" si="45"/>
        <v>31</v>
      </c>
      <c r="M273" s="190"/>
      <c r="N273" s="196"/>
      <c r="O273" s="197"/>
      <c r="P273" s="198" t="str">
        <f t="shared" si="43"/>
        <v/>
      </c>
    </row>
    <row r="274" spans="2:16" x14ac:dyDescent="0.35">
      <c r="B274" s="190"/>
      <c r="C274" s="190"/>
      <c r="D274" s="190"/>
      <c r="E274" s="191" t="str">
        <f t="shared" si="44"/>
        <v>--</v>
      </c>
      <c r="F274" s="192"/>
      <c r="G274" s="190"/>
      <c r="H274" s="193"/>
      <c r="I274" s="193"/>
      <c r="J274" s="194"/>
      <c r="K274" s="195">
        <f t="shared" si="45"/>
        <v>31</v>
      </c>
      <c r="L274" s="195">
        <f t="shared" si="45"/>
        <v>31</v>
      </c>
      <c r="M274" s="190"/>
      <c r="N274" s="196"/>
      <c r="O274" s="197"/>
      <c r="P274" s="198" t="str">
        <f t="shared" si="43"/>
        <v/>
      </c>
    </row>
    <row r="275" spans="2:16" x14ac:dyDescent="0.35">
      <c r="B275" s="190"/>
      <c r="C275" s="190"/>
      <c r="D275" s="190"/>
      <c r="E275" s="191" t="str">
        <f t="shared" si="44"/>
        <v>--</v>
      </c>
      <c r="F275" s="192"/>
      <c r="G275" s="190"/>
      <c r="H275" s="193"/>
      <c r="I275" s="193"/>
      <c r="J275" s="194"/>
      <c r="K275" s="195">
        <f t="shared" si="45"/>
        <v>31</v>
      </c>
      <c r="L275" s="195">
        <f t="shared" si="45"/>
        <v>31</v>
      </c>
      <c r="M275" s="190"/>
      <c r="N275" s="196"/>
      <c r="O275" s="197"/>
      <c r="P275" s="198" t="str">
        <f t="shared" si="43"/>
        <v/>
      </c>
    </row>
    <row r="276" spans="2:16" x14ac:dyDescent="0.35">
      <c r="B276" s="190"/>
      <c r="C276" s="190"/>
      <c r="D276" s="190"/>
      <c r="E276" s="191" t="str">
        <f t="shared" si="44"/>
        <v>--</v>
      </c>
      <c r="F276" s="192"/>
      <c r="G276" s="190"/>
      <c r="H276" s="193"/>
      <c r="I276" s="193"/>
      <c r="J276" s="194"/>
      <c r="K276" s="195">
        <f t="shared" si="45"/>
        <v>31</v>
      </c>
      <c r="L276" s="195">
        <f t="shared" si="45"/>
        <v>31</v>
      </c>
      <c r="M276" s="190"/>
      <c r="N276" s="196"/>
      <c r="O276" s="197"/>
      <c r="P276" s="198" t="str">
        <f t="shared" si="43"/>
        <v/>
      </c>
    </row>
    <row r="277" spans="2:16" x14ac:dyDescent="0.35">
      <c r="B277" s="190"/>
      <c r="C277" s="190"/>
      <c r="D277" s="190"/>
      <c r="E277" s="191" t="str">
        <f t="shared" si="44"/>
        <v>--</v>
      </c>
      <c r="F277" s="192"/>
      <c r="G277" s="190"/>
      <c r="H277" s="193"/>
      <c r="I277" s="193"/>
      <c r="J277" s="194"/>
      <c r="K277" s="195">
        <f t="shared" si="45"/>
        <v>31</v>
      </c>
      <c r="L277" s="195">
        <f t="shared" si="45"/>
        <v>31</v>
      </c>
      <c r="M277" s="190"/>
      <c r="N277" s="196"/>
      <c r="O277" s="197"/>
      <c r="P277" s="198" t="str">
        <f t="shared" si="43"/>
        <v/>
      </c>
    </row>
    <row r="278" spans="2:16" x14ac:dyDescent="0.35">
      <c r="B278" s="190"/>
      <c r="C278" s="190"/>
      <c r="D278" s="190"/>
      <c r="E278" s="191" t="str">
        <f t="shared" si="44"/>
        <v>--</v>
      </c>
      <c r="F278" s="192"/>
      <c r="G278" s="190"/>
      <c r="H278" s="193"/>
      <c r="I278" s="193"/>
      <c r="J278" s="194"/>
      <c r="K278" s="195">
        <f t="shared" si="45"/>
        <v>31</v>
      </c>
      <c r="L278" s="195">
        <f t="shared" si="45"/>
        <v>31</v>
      </c>
      <c r="M278" s="190"/>
      <c r="N278" s="196"/>
      <c r="O278" s="197"/>
      <c r="P278" s="198" t="str">
        <f t="shared" si="43"/>
        <v/>
      </c>
    </row>
    <row r="279" spans="2:16" x14ac:dyDescent="0.35">
      <c r="B279" s="190"/>
      <c r="C279" s="190"/>
      <c r="D279" s="190"/>
      <c r="E279" s="191" t="str">
        <f t="shared" si="44"/>
        <v>--</v>
      </c>
      <c r="F279" s="192"/>
      <c r="G279" s="190"/>
      <c r="H279" s="193"/>
      <c r="I279" s="193"/>
      <c r="J279" s="194"/>
      <c r="K279" s="195">
        <f t="shared" si="45"/>
        <v>31</v>
      </c>
      <c r="L279" s="195">
        <f t="shared" si="45"/>
        <v>31</v>
      </c>
      <c r="M279" s="190"/>
      <c r="N279" s="196"/>
      <c r="O279" s="197"/>
      <c r="P279" s="198" t="str">
        <f t="shared" si="43"/>
        <v/>
      </c>
    </row>
    <row r="280" spans="2:16" x14ac:dyDescent="0.35">
      <c r="B280" s="190"/>
      <c r="C280" s="190"/>
      <c r="D280" s="190"/>
      <c r="E280" s="191" t="str">
        <f t="shared" si="44"/>
        <v>--</v>
      </c>
      <c r="F280" s="192"/>
      <c r="G280" s="190"/>
      <c r="H280" s="193"/>
      <c r="I280" s="193"/>
      <c r="J280" s="194"/>
      <c r="K280" s="195">
        <f t="shared" si="45"/>
        <v>31</v>
      </c>
      <c r="L280" s="195">
        <f t="shared" si="45"/>
        <v>31</v>
      </c>
      <c r="M280" s="190"/>
      <c r="N280" s="196"/>
      <c r="O280" s="197"/>
      <c r="P280" s="198" t="str">
        <f t="shared" si="43"/>
        <v/>
      </c>
    </row>
    <row r="281" spans="2:16" x14ac:dyDescent="0.35">
      <c r="B281" s="190"/>
      <c r="C281" s="190"/>
      <c r="D281" s="190"/>
      <c r="E281" s="191" t="str">
        <f t="shared" si="44"/>
        <v>--</v>
      </c>
      <c r="F281" s="192"/>
      <c r="G281" s="190"/>
      <c r="H281" s="193"/>
      <c r="I281" s="193"/>
      <c r="J281" s="194"/>
      <c r="K281" s="195">
        <f t="shared" si="45"/>
        <v>31</v>
      </c>
      <c r="L281" s="195">
        <f t="shared" si="45"/>
        <v>31</v>
      </c>
      <c r="M281" s="190"/>
      <c r="N281" s="196"/>
      <c r="O281" s="197"/>
      <c r="P281" s="198" t="str">
        <f t="shared" si="43"/>
        <v/>
      </c>
    </row>
    <row r="282" spans="2:16" x14ac:dyDescent="0.35">
      <c r="B282" s="190"/>
      <c r="C282" s="190"/>
      <c r="D282" s="190"/>
      <c r="E282" s="191" t="str">
        <f t="shared" si="44"/>
        <v>--</v>
      </c>
      <c r="F282" s="192"/>
      <c r="G282" s="190"/>
      <c r="H282" s="193"/>
      <c r="I282" s="193"/>
      <c r="J282" s="194"/>
      <c r="K282" s="195">
        <f t="shared" si="45"/>
        <v>31</v>
      </c>
      <c r="L282" s="195">
        <f t="shared" si="45"/>
        <v>31</v>
      </c>
      <c r="M282" s="190"/>
      <c r="N282" s="196"/>
      <c r="O282" s="197"/>
      <c r="P282" s="198" t="str">
        <f t="shared" si="43"/>
        <v/>
      </c>
    </row>
    <row r="283" spans="2:16" x14ac:dyDescent="0.35">
      <c r="B283" s="190"/>
      <c r="C283" s="190"/>
      <c r="D283" s="190"/>
      <c r="E283" s="191" t="str">
        <f t="shared" si="44"/>
        <v>--</v>
      </c>
      <c r="F283" s="192"/>
      <c r="G283" s="190"/>
      <c r="H283" s="193"/>
      <c r="I283" s="193"/>
      <c r="J283" s="194"/>
      <c r="K283" s="195">
        <f t="shared" si="45"/>
        <v>31</v>
      </c>
      <c r="L283" s="195">
        <f t="shared" si="45"/>
        <v>31</v>
      </c>
      <c r="M283" s="190"/>
      <c r="N283" s="196"/>
      <c r="O283" s="197"/>
      <c r="P283" s="198" t="str">
        <f t="shared" si="43"/>
        <v/>
      </c>
    </row>
    <row r="284" spans="2:16" x14ac:dyDescent="0.35">
      <c r="B284" s="190"/>
      <c r="C284" s="190"/>
      <c r="D284" s="190"/>
      <c r="E284" s="191" t="str">
        <f t="shared" si="44"/>
        <v>--</v>
      </c>
      <c r="F284" s="192"/>
      <c r="G284" s="190"/>
      <c r="H284" s="193"/>
      <c r="I284" s="193"/>
      <c r="J284" s="194"/>
      <c r="K284" s="195">
        <f t="shared" si="45"/>
        <v>31</v>
      </c>
      <c r="L284" s="195">
        <f t="shared" si="45"/>
        <v>31</v>
      </c>
      <c r="M284" s="190"/>
      <c r="N284" s="196"/>
      <c r="O284" s="197"/>
      <c r="P284" s="198" t="str">
        <f t="shared" si="43"/>
        <v/>
      </c>
    </row>
    <row r="285" spans="2:16" x14ac:dyDescent="0.35">
      <c r="B285" s="190"/>
      <c r="C285" s="190"/>
      <c r="D285" s="190"/>
      <c r="E285" s="191" t="str">
        <f t="shared" si="44"/>
        <v>--</v>
      </c>
      <c r="F285" s="192"/>
      <c r="G285" s="190"/>
      <c r="H285" s="193"/>
      <c r="I285" s="193"/>
      <c r="J285" s="194"/>
      <c r="K285" s="195">
        <f t="shared" si="45"/>
        <v>31</v>
      </c>
      <c r="L285" s="195">
        <f t="shared" si="45"/>
        <v>31</v>
      </c>
      <c r="M285" s="190"/>
      <c r="N285" s="196"/>
      <c r="O285" s="197"/>
      <c r="P285" s="198" t="str">
        <f t="shared" si="43"/>
        <v/>
      </c>
    </row>
    <row r="286" spans="2:16" x14ac:dyDescent="0.35">
      <c r="B286" s="190"/>
      <c r="C286" s="190"/>
      <c r="D286" s="190"/>
      <c r="E286" s="191" t="str">
        <f t="shared" si="44"/>
        <v>--</v>
      </c>
      <c r="F286" s="192"/>
      <c r="G286" s="190"/>
      <c r="H286" s="193"/>
      <c r="I286" s="193"/>
      <c r="J286" s="194"/>
      <c r="K286" s="195">
        <f t="shared" si="45"/>
        <v>31</v>
      </c>
      <c r="L286" s="195">
        <f t="shared" si="45"/>
        <v>31</v>
      </c>
      <c r="M286" s="190"/>
      <c r="N286" s="196"/>
      <c r="O286" s="197"/>
      <c r="P286" s="198" t="str">
        <f t="shared" si="43"/>
        <v/>
      </c>
    </row>
    <row r="287" spans="2:16" x14ac:dyDescent="0.35">
      <c r="B287" s="190"/>
      <c r="C287" s="190"/>
      <c r="D287" s="190"/>
      <c r="E287" s="191" t="str">
        <f t="shared" si="44"/>
        <v>--</v>
      </c>
      <c r="F287" s="192"/>
      <c r="G287" s="190"/>
      <c r="H287" s="193"/>
      <c r="I287" s="193"/>
      <c r="J287" s="194"/>
      <c r="K287" s="195">
        <f t="shared" si="45"/>
        <v>31</v>
      </c>
      <c r="L287" s="195">
        <f t="shared" si="45"/>
        <v>31</v>
      </c>
      <c r="M287" s="190"/>
      <c r="N287" s="196"/>
      <c r="O287" s="197"/>
      <c r="P287" s="198" t="str">
        <f t="shared" si="43"/>
        <v/>
      </c>
    </row>
    <row r="288" spans="2:16" x14ac:dyDescent="0.35">
      <c r="B288" s="190"/>
      <c r="C288" s="190"/>
      <c r="D288" s="190"/>
      <c r="E288" s="191" t="str">
        <f t="shared" si="44"/>
        <v>--</v>
      </c>
      <c r="F288" s="192"/>
      <c r="G288" s="190"/>
      <c r="H288" s="193"/>
      <c r="I288" s="193"/>
      <c r="J288" s="194"/>
      <c r="K288" s="195">
        <f t="shared" si="45"/>
        <v>31</v>
      </c>
      <c r="L288" s="195">
        <f t="shared" si="45"/>
        <v>31</v>
      </c>
      <c r="M288" s="190"/>
      <c r="N288" s="196"/>
      <c r="O288" s="197"/>
      <c r="P288" s="198" t="str">
        <f t="shared" si="43"/>
        <v/>
      </c>
    </row>
    <row r="289" spans="2:16" x14ac:dyDescent="0.35">
      <c r="B289" s="190"/>
      <c r="C289" s="190"/>
      <c r="D289" s="190"/>
      <c r="E289" s="191" t="str">
        <f t="shared" si="44"/>
        <v>--</v>
      </c>
      <c r="F289" s="192"/>
      <c r="G289" s="190"/>
      <c r="H289" s="193"/>
      <c r="I289" s="193"/>
      <c r="J289" s="194"/>
      <c r="K289" s="195">
        <f t="shared" si="45"/>
        <v>31</v>
      </c>
      <c r="L289" s="195">
        <f t="shared" si="45"/>
        <v>31</v>
      </c>
      <c r="M289" s="190"/>
      <c r="N289" s="196"/>
      <c r="O289" s="197"/>
      <c r="P289" s="198" t="str">
        <f t="shared" si="43"/>
        <v/>
      </c>
    </row>
    <row r="290" spans="2:16" x14ac:dyDescent="0.35">
      <c r="B290" s="190"/>
      <c r="C290" s="190"/>
      <c r="D290" s="190"/>
      <c r="E290" s="275"/>
      <c r="F290" s="192"/>
      <c r="G290" s="190"/>
      <c r="H290" s="193"/>
      <c r="I290" s="276"/>
      <c r="J290" s="194"/>
      <c r="K290" s="195">
        <f t="shared" si="45"/>
        <v>31</v>
      </c>
      <c r="L290" s="195">
        <f t="shared" si="45"/>
        <v>31</v>
      </c>
      <c r="M290" s="190"/>
      <c r="N290" s="196"/>
      <c r="O290" s="197"/>
      <c r="P290" s="198" t="str">
        <f t="shared" si="43"/>
        <v/>
      </c>
    </row>
    <row r="291" spans="2:16" x14ac:dyDescent="0.35">
      <c r="B291" s="190"/>
      <c r="C291" s="190"/>
      <c r="D291" s="190"/>
      <c r="E291" s="275"/>
      <c r="F291" s="192"/>
      <c r="G291" s="190"/>
      <c r="H291" s="193"/>
      <c r="I291" s="276"/>
      <c r="J291" s="194"/>
      <c r="K291" s="195">
        <f t="shared" si="45"/>
        <v>31</v>
      </c>
      <c r="L291" s="195">
        <f t="shared" si="45"/>
        <v>31</v>
      </c>
      <c r="M291" s="190"/>
      <c r="N291" s="196"/>
      <c r="O291" s="197"/>
      <c r="P291" s="198" t="str">
        <f t="shared" si="43"/>
        <v/>
      </c>
    </row>
    <row r="292" spans="2:16" x14ac:dyDescent="0.35">
      <c r="B292" s="190"/>
      <c r="C292" s="190"/>
      <c r="D292" s="190"/>
      <c r="E292" s="275"/>
      <c r="F292" s="192"/>
      <c r="G292" s="190"/>
      <c r="H292" s="193"/>
      <c r="I292" s="276"/>
      <c r="J292" s="194"/>
      <c r="K292" s="195">
        <f t="shared" si="45"/>
        <v>31</v>
      </c>
      <c r="L292" s="195">
        <f t="shared" si="45"/>
        <v>31</v>
      </c>
      <c r="M292" s="190"/>
      <c r="N292" s="196"/>
      <c r="O292" s="197"/>
      <c r="P292" s="198" t="str">
        <f t="shared" si="43"/>
        <v/>
      </c>
    </row>
    <row r="293" spans="2:16" x14ac:dyDescent="0.35">
      <c r="B293" s="190"/>
      <c r="C293" s="190"/>
      <c r="D293" s="190"/>
      <c r="E293" s="275"/>
      <c r="F293" s="192"/>
      <c r="G293" s="190"/>
      <c r="H293" s="193"/>
      <c r="I293" s="276"/>
      <c r="J293" s="194"/>
      <c r="K293" s="195">
        <f t="shared" si="45"/>
        <v>31</v>
      </c>
      <c r="L293" s="195">
        <f t="shared" si="45"/>
        <v>31</v>
      </c>
      <c r="M293" s="190"/>
      <c r="N293" s="196"/>
      <c r="O293" s="197"/>
      <c r="P293" s="198" t="str">
        <f t="shared" si="43"/>
        <v/>
      </c>
    </row>
    <row r="294" spans="2:16" x14ac:dyDescent="0.35">
      <c r="B294" s="190"/>
      <c r="C294" s="190"/>
      <c r="D294" s="190"/>
      <c r="E294" s="275"/>
      <c r="F294" s="192"/>
      <c r="G294" s="190"/>
      <c r="H294" s="193"/>
      <c r="I294" s="276"/>
      <c r="J294" s="194"/>
      <c r="K294" s="195">
        <f t="shared" si="45"/>
        <v>31</v>
      </c>
      <c r="L294" s="195">
        <f t="shared" si="45"/>
        <v>31</v>
      </c>
      <c r="M294" s="190"/>
      <c r="N294" s="196"/>
      <c r="O294" s="197"/>
      <c r="P294" s="198" t="str">
        <f t="shared" si="43"/>
        <v/>
      </c>
    </row>
    <row r="295" spans="2:16" x14ac:dyDescent="0.35">
      <c r="B295" s="190"/>
      <c r="C295" s="190"/>
      <c r="D295" s="190"/>
      <c r="E295" s="275"/>
      <c r="F295" s="192"/>
      <c r="G295" s="190"/>
      <c r="H295" s="193"/>
      <c r="I295" s="276"/>
      <c r="J295" s="194"/>
      <c r="K295" s="195">
        <f t="shared" si="45"/>
        <v>31</v>
      </c>
      <c r="L295" s="195">
        <f t="shared" si="45"/>
        <v>31</v>
      </c>
      <c r="M295" s="190"/>
      <c r="N295" s="196"/>
      <c r="O295" s="197"/>
      <c r="P295" s="198" t="str">
        <f t="shared" si="43"/>
        <v/>
      </c>
    </row>
    <row r="296" spans="2:16" x14ac:dyDescent="0.35">
      <c r="B296" s="190"/>
      <c r="C296" s="190"/>
      <c r="D296" s="190"/>
      <c r="E296" s="275"/>
      <c r="F296" s="192"/>
      <c r="G296" s="190"/>
      <c r="H296" s="193"/>
      <c r="I296" s="276"/>
      <c r="J296" s="194"/>
      <c r="K296" s="195">
        <f t="shared" si="45"/>
        <v>31</v>
      </c>
      <c r="L296" s="195">
        <f t="shared" si="45"/>
        <v>31</v>
      </c>
      <c r="M296" s="190"/>
      <c r="N296" s="196"/>
      <c r="O296" s="197"/>
      <c r="P296" s="198" t="str">
        <f t="shared" si="43"/>
        <v/>
      </c>
    </row>
    <row r="297" spans="2:16" x14ac:dyDescent="0.35">
      <c r="B297" s="190"/>
      <c r="C297" s="190"/>
      <c r="D297" s="190"/>
      <c r="E297" s="275"/>
      <c r="F297" s="192"/>
      <c r="G297" s="190"/>
      <c r="H297" s="193"/>
      <c r="I297" s="276"/>
      <c r="J297" s="194"/>
      <c r="K297" s="195">
        <f t="shared" si="45"/>
        <v>31</v>
      </c>
      <c r="L297" s="195">
        <f t="shared" si="45"/>
        <v>31</v>
      </c>
      <c r="M297" s="190"/>
      <c r="N297" s="196"/>
      <c r="O297" s="197"/>
      <c r="P297" s="198" t="str">
        <f t="shared" si="43"/>
        <v/>
      </c>
    </row>
    <row r="298" spans="2:16" x14ac:dyDescent="0.35">
      <c r="B298" s="190"/>
      <c r="C298" s="190"/>
      <c r="D298" s="190"/>
      <c r="E298" s="275"/>
      <c r="F298" s="192"/>
      <c r="G298" s="190"/>
      <c r="H298" s="193"/>
      <c r="I298" s="276"/>
      <c r="J298" s="194"/>
      <c r="K298" s="195">
        <f t="shared" si="45"/>
        <v>31</v>
      </c>
      <c r="L298" s="195">
        <f t="shared" si="45"/>
        <v>31</v>
      </c>
      <c r="M298" s="190"/>
      <c r="N298" s="196"/>
      <c r="O298" s="197"/>
      <c r="P298" s="198" t="str">
        <f t="shared" si="43"/>
        <v/>
      </c>
    </row>
    <row r="299" spans="2:16" x14ac:dyDescent="0.35">
      <c r="B299" s="190"/>
      <c r="C299" s="190"/>
      <c r="D299" s="190"/>
      <c r="E299" s="275"/>
      <c r="F299" s="192"/>
      <c r="G299" s="190"/>
      <c r="H299" s="193"/>
      <c r="I299" s="276"/>
      <c r="J299" s="194"/>
      <c r="K299" s="195">
        <f t="shared" si="45"/>
        <v>31</v>
      </c>
      <c r="L299" s="195">
        <f t="shared" si="45"/>
        <v>31</v>
      </c>
      <c r="M299" s="190"/>
      <c r="N299" s="196"/>
      <c r="O299" s="197"/>
      <c r="P299" s="198" t="str">
        <f t="shared" si="43"/>
        <v/>
      </c>
    </row>
    <row r="300" spans="2:16" x14ac:dyDescent="0.35">
      <c r="B300" s="190"/>
      <c r="C300" s="190"/>
      <c r="D300" s="190"/>
      <c r="E300" s="275"/>
      <c r="F300" s="192"/>
      <c r="G300" s="190"/>
      <c r="H300" s="193"/>
      <c r="I300" s="276"/>
      <c r="J300" s="194"/>
      <c r="K300" s="195">
        <f t="shared" si="45"/>
        <v>31</v>
      </c>
      <c r="L300" s="195">
        <f t="shared" si="45"/>
        <v>31</v>
      </c>
      <c r="M300" s="190"/>
      <c r="N300" s="196"/>
      <c r="O300" s="197"/>
      <c r="P300" s="198" t="str">
        <f t="shared" si="43"/>
        <v/>
      </c>
    </row>
    <row r="301" spans="2:16" x14ac:dyDescent="0.35">
      <c r="B301" s="190"/>
      <c r="C301" s="190"/>
      <c r="D301" s="190"/>
      <c r="E301" s="275"/>
      <c r="F301" s="192"/>
      <c r="G301" s="190"/>
      <c r="H301" s="193"/>
      <c r="I301" s="276"/>
      <c r="J301" s="194"/>
      <c r="K301" s="195">
        <f t="shared" si="45"/>
        <v>31</v>
      </c>
      <c r="L301" s="195">
        <f t="shared" si="45"/>
        <v>31</v>
      </c>
      <c r="M301" s="190"/>
      <c r="N301" s="196"/>
      <c r="O301" s="197"/>
      <c r="P301" s="198" t="str">
        <f t="shared" si="43"/>
        <v/>
      </c>
    </row>
    <row r="302" spans="2:16" x14ac:dyDescent="0.35">
      <c r="B302" s="190"/>
      <c r="C302" s="190"/>
      <c r="D302" s="190"/>
      <c r="E302" s="275"/>
      <c r="F302" s="192"/>
      <c r="G302" s="190"/>
      <c r="H302" s="193"/>
      <c r="I302" s="276"/>
      <c r="J302" s="194"/>
      <c r="K302" s="195">
        <f t="shared" si="45"/>
        <v>31</v>
      </c>
      <c r="L302" s="195">
        <f t="shared" si="45"/>
        <v>31</v>
      </c>
      <c r="M302" s="190"/>
      <c r="N302" s="196"/>
      <c r="O302" s="197"/>
      <c r="P302" s="198" t="str">
        <f t="shared" si="43"/>
        <v/>
      </c>
    </row>
    <row r="303" spans="2:16" x14ac:dyDescent="0.35">
      <c r="B303" s="190"/>
      <c r="C303" s="190"/>
      <c r="D303" s="190"/>
      <c r="E303" s="275"/>
      <c r="F303" s="192"/>
      <c r="G303" s="190"/>
      <c r="H303" s="193"/>
      <c r="I303" s="276"/>
      <c r="J303" s="194"/>
      <c r="K303" s="195">
        <f t="shared" si="45"/>
        <v>31</v>
      </c>
      <c r="L303" s="195">
        <f t="shared" si="45"/>
        <v>31</v>
      </c>
      <c r="M303" s="190"/>
      <c r="N303" s="196"/>
      <c r="O303" s="197"/>
      <c r="P303" s="198" t="str">
        <f t="shared" si="43"/>
        <v/>
      </c>
    </row>
    <row r="304" spans="2:16" x14ac:dyDescent="0.35">
      <c r="B304" s="190"/>
      <c r="C304" s="190"/>
      <c r="D304" s="190"/>
      <c r="E304" s="275"/>
      <c r="F304" s="192"/>
      <c r="G304" s="190"/>
      <c r="H304" s="193"/>
      <c r="I304" s="276"/>
      <c r="J304" s="194"/>
      <c r="K304" s="195">
        <f t="shared" si="45"/>
        <v>31</v>
      </c>
      <c r="L304" s="195">
        <f t="shared" si="45"/>
        <v>31</v>
      </c>
      <c r="M304" s="190"/>
      <c r="N304" s="196"/>
      <c r="O304" s="197"/>
      <c r="P304" s="198" t="str">
        <f t="shared" si="43"/>
        <v/>
      </c>
    </row>
    <row r="305" spans="2:16" x14ac:dyDescent="0.35">
      <c r="B305" s="190"/>
      <c r="C305" s="190"/>
      <c r="D305" s="190"/>
      <c r="E305" s="275"/>
      <c r="F305" s="192"/>
      <c r="G305" s="190"/>
      <c r="H305" s="193"/>
      <c r="I305" s="276"/>
      <c r="J305" s="194"/>
      <c r="K305" s="195">
        <f t="shared" si="45"/>
        <v>31</v>
      </c>
      <c r="L305" s="195">
        <f t="shared" si="45"/>
        <v>31</v>
      </c>
      <c r="M305" s="190"/>
      <c r="N305" s="196"/>
      <c r="O305" s="197"/>
      <c r="P305" s="198" t="str">
        <f t="shared" si="43"/>
        <v/>
      </c>
    </row>
    <row r="306" spans="2:16" x14ac:dyDescent="0.35">
      <c r="B306" s="190"/>
      <c r="C306" s="190"/>
      <c r="D306" s="190"/>
      <c r="E306" s="275"/>
      <c r="F306" s="192"/>
      <c r="G306" s="190"/>
      <c r="H306" s="193"/>
      <c r="I306" s="276"/>
      <c r="J306" s="194"/>
      <c r="K306" s="195">
        <f t="shared" si="45"/>
        <v>31</v>
      </c>
      <c r="L306" s="195">
        <f t="shared" si="45"/>
        <v>31</v>
      </c>
      <c r="M306" s="190"/>
      <c r="N306" s="196"/>
      <c r="O306" s="197"/>
      <c r="P306" s="198" t="str">
        <f t="shared" si="43"/>
        <v/>
      </c>
    </row>
    <row r="307" spans="2:16" x14ac:dyDescent="0.35">
      <c r="B307" s="190"/>
      <c r="C307" s="190"/>
      <c r="D307" s="190"/>
      <c r="E307" s="275"/>
      <c r="F307" s="192"/>
      <c r="G307" s="190"/>
      <c r="H307" s="193"/>
      <c r="I307" s="276"/>
      <c r="J307" s="194"/>
      <c r="K307" s="195">
        <f t="shared" si="45"/>
        <v>31</v>
      </c>
      <c r="L307" s="195">
        <f t="shared" si="45"/>
        <v>31</v>
      </c>
      <c r="M307" s="190"/>
      <c r="N307" s="196"/>
      <c r="O307" s="197"/>
      <c r="P307" s="198" t="str">
        <f t="shared" si="43"/>
        <v/>
      </c>
    </row>
    <row r="308" spans="2:16" x14ac:dyDescent="0.35">
      <c r="B308" s="190"/>
      <c r="C308" s="190"/>
      <c r="D308" s="190"/>
      <c r="E308" s="275"/>
      <c r="F308" s="192"/>
      <c r="G308" s="190"/>
      <c r="H308" s="193"/>
      <c r="I308" s="276"/>
      <c r="J308" s="194"/>
      <c r="K308" s="195">
        <f t="shared" si="45"/>
        <v>31</v>
      </c>
      <c r="L308" s="195">
        <f t="shared" si="45"/>
        <v>31</v>
      </c>
      <c r="M308" s="190"/>
      <c r="N308" s="196"/>
      <c r="O308" s="197"/>
      <c r="P308" s="198" t="str">
        <f t="shared" si="43"/>
        <v/>
      </c>
    </row>
    <row r="309" spans="2:16" x14ac:dyDescent="0.35">
      <c r="B309" s="190"/>
      <c r="C309" s="190"/>
      <c r="D309" s="190"/>
      <c r="E309" s="275"/>
      <c r="F309" s="192"/>
      <c r="G309" s="190"/>
      <c r="H309" s="193"/>
      <c r="I309" s="276"/>
      <c r="J309" s="194"/>
      <c r="K309" s="195">
        <f t="shared" si="45"/>
        <v>31</v>
      </c>
      <c r="L309" s="195">
        <f t="shared" si="45"/>
        <v>31</v>
      </c>
      <c r="M309" s="190"/>
      <c r="N309" s="196"/>
      <c r="O309" s="197"/>
      <c r="P309" s="198" t="str">
        <f t="shared" si="43"/>
        <v/>
      </c>
    </row>
    <row r="310" spans="2:16" x14ac:dyDescent="0.35">
      <c r="B310" s="190"/>
      <c r="C310" s="190"/>
      <c r="D310" s="190"/>
      <c r="E310" s="275"/>
      <c r="F310" s="192"/>
      <c r="G310" s="190"/>
      <c r="H310" s="193"/>
      <c r="I310" s="276"/>
      <c r="J310" s="194"/>
      <c r="K310" s="195">
        <f t="shared" si="45"/>
        <v>31</v>
      </c>
      <c r="L310" s="195">
        <f t="shared" si="45"/>
        <v>31</v>
      </c>
      <c r="M310" s="190"/>
      <c r="N310" s="196"/>
      <c r="O310" s="197"/>
      <c r="P310" s="198" t="str">
        <f t="shared" si="43"/>
        <v/>
      </c>
    </row>
    <row r="311" spans="2:16" x14ac:dyDescent="0.35">
      <c r="B311" s="190"/>
      <c r="C311" s="190"/>
      <c r="D311" s="190"/>
      <c r="E311" s="275"/>
      <c r="F311" s="192"/>
      <c r="G311" s="190"/>
      <c r="H311" s="193"/>
      <c r="I311" s="276"/>
      <c r="J311" s="194"/>
      <c r="K311" s="195">
        <f t="shared" si="45"/>
        <v>31</v>
      </c>
      <c r="L311" s="195">
        <f t="shared" si="45"/>
        <v>31</v>
      </c>
      <c r="M311" s="190"/>
      <c r="N311" s="196"/>
      <c r="O311" s="197"/>
      <c r="P311" s="198" t="str">
        <f t="shared" si="43"/>
        <v/>
      </c>
    </row>
    <row r="312" spans="2:16" x14ac:dyDescent="0.35">
      <c r="B312" s="190"/>
      <c r="C312" s="190"/>
      <c r="D312" s="190"/>
      <c r="E312" s="275"/>
      <c r="F312" s="192"/>
      <c r="G312" s="190"/>
      <c r="H312" s="193"/>
      <c r="I312" s="276"/>
      <c r="J312" s="194"/>
      <c r="K312" s="195">
        <f t="shared" si="45"/>
        <v>31</v>
      </c>
      <c r="L312" s="195">
        <f t="shared" si="45"/>
        <v>31</v>
      </c>
      <c r="M312" s="190"/>
      <c r="N312" s="196"/>
      <c r="O312" s="197"/>
      <c r="P312" s="198" t="str">
        <f t="shared" si="43"/>
        <v/>
      </c>
    </row>
    <row r="313" spans="2:16" x14ac:dyDescent="0.35">
      <c r="B313" s="190"/>
      <c r="C313" s="190"/>
      <c r="D313" s="190"/>
      <c r="E313" s="275"/>
      <c r="F313" s="192"/>
      <c r="G313" s="190"/>
      <c r="H313" s="193"/>
      <c r="I313" s="276"/>
      <c r="J313" s="194"/>
      <c r="K313" s="195">
        <f t="shared" si="45"/>
        <v>31</v>
      </c>
      <c r="L313" s="195">
        <f t="shared" si="45"/>
        <v>31</v>
      </c>
      <c r="M313" s="190"/>
      <c r="N313" s="196"/>
      <c r="O313" s="197"/>
      <c r="P313" s="198" t="str">
        <f t="shared" si="43"/>
        <v/>
      </c>
    </row>
    <row r="314" spans="2:16" x14ac:dyDescent="0.35">
      <c r="B314" s="190"/>
      <c r="C314" s="190"/>
      <c r="D314" s="190"/>
      <c r="E314" s="275"/>
      <c r="F314" s="192"/>
      <c r="G314" s="190"/>
      <c r="H314" s="193"/>
      <c r="I314" s="276"/>
      <c r="J314" s="194"/>
      <c r="K314" s="195">
        <f t="shared" si="45"/>
        <v>31</v>
      </c>
      <c r="L314" s="195">
        <f t="shared" si="45"/>
        <v>31</v>
      </c>
      <c r="M314" s="190"/>
      <c r="N314" s="196"/>
      <c r="O314" s="197"/>
      <c r="P314" s="198" t="str">
        <f t="shared" si="43"/>
        <v/>
      </c>
    </row>
    <row r="315" spans="2:16" x14ac:dyDescent="0.35">
      <c r="B315" s="190"/>
      <c r="C315" s="190"/>
      <c r="D315" s="190"/>
      <c r="E315" s="275"/>
      <c r="F315" s="192"/>
      <c r="G315" s="190"/>
      <c r="H315" s="193"/>
      <c r="I315" s="276"/>
      <c r="J315" s="194"/>
      <c r="K315" s="195">
        <f t="shared" si="45"/>
        <v>31</v>
      </c>
      <c r="L315" s="195">
        <f t="shared" si="45"/>
        <v>31</v>
      </c>
      <c r="M315" s="190"/>
      <c r="N315" s="196"/>
      <c r="O315" s="197"/>
      <c r="P315" s="198" t="str">
        <f t="shared" si="43"/>
        <v/>
      </c>
    </row>
    <row r="316" spans="2:16" x14ac:dyDescent="0.35">
      <c r="B316" s="190"/>
      <c r="C316" s="190"/>
      <c r="D316" s="190"/>
      <c r="E316" s="275"/>
      <c r="F316" s="192"/>
      <c r="G316" s="190"/>
      <c r="H316" s="193"/>
      <c r="I316" s="276"/>
      <c r="J316" s="194"/>
      <c r="K316" s="195">
        <f t="shared" si="45"/>
        <v>31</v>
      </c>
      <c r="L316" s="195">
        <f t="shared" si="45"/>
        <v>31</v>
      </c>
      <c r="M316" s="190"/>
      <c r="N316" s="196"/>
      <c r="O316" s="197"/>
      <c r="P316" s="198" t="str">
        <f t="shared" si="43"/>
        <v/>
      </c>
    </row>
    <row r="317" spans="2:16" x14ac:dyDescent="0.35">
      <c r="B317" s="190"/>
      <c r="C317" s="190"/>
      <c r="D317" s="190"/>
      <c r="E317" s="275"/>
      <c r="F317" s="192"/>
      <c r="G317" s="190"/>
      <c r="H317" s="193"/>
      <c r="I317" s="276"/>
      <c r="J317" s="194"/>
      <c r="K317" s="195">
        <f t="shared" si="45"/>
        <v>31</v>
      </c>
      <c r="L317" s="195">
        <f t="shared" si="45"/>
        <v>31</v>
      </c>
      <c r="M317" s="190"/>
      <c r="N317" s="196"/>
      <c r="O317" s="197"/>
      <c r="P317" s="198" t="str">
        <f t="shared" si="43"/>
        <v/>
      </c>
    </row>
    <row r="318" spans="2:16" x14ac:dyDescent="0.35">
      <c r="B318" s="190"/>
      <c r="C318" s="190"/>
      <c r="D318" s="190"/>
      <c r="E318" s="275"/>
      <c r="F318" s="192"/>
      <c r="G318" s="190"/>
      <c r="H318" s="193"/>
      <c r="I318" s="276"/>
      <c r="J318" s="194"/>
      <c r="K318" s="195">
        <f t="shared" si="45"/>
        <v>31</v>
      </c>
      <c r="L318" s="195">
        <f t="shared" si="45"/>
        <v>31</v>
      </c>
      <c r="M318" s="190"/>
      <c r="N318" s="196"/>
      <c r="O318" s="197"/>
      <c r="P318" s="198" t="str">
        <f t="shared" si="43"/>
        <v/>
      </c>
    </row>
    <row r="319" spans="2:16" x14ac:dyDescent="0.35">
      <c r="B319" s="190"/>
      <c r="C319" s="190"/>
      <c r="D319" s="190"/>
      <c r="E319" s="275"/>
      <c r="F319" s="192"/>
      <c r="G319" s="190"/>
      <c r="H319" s="193"/>
      <c r="I319" s="276"/>
      <c r="J319" s="194"/>
      <c r="K319" s="195">
        <f t="shared" si="45"/>
        <v>31</v>
      </c>
      <c r="L319" s="195">
        <f t="shared" si="45"/>
        <v>31</v>
      </c>
      <c r="M319" s="190"/>
      <c r="N319" s="196"/>
      <c r="O319" s="197"/>
      <c r="P319" s="198" t="str">
        <f t="shared" si="43"/>
        <v/>
      </c>
    </row>
    <row r="320" spans="2:16" x14ac:dyDescent="0.35">
      <c r="B320" s="190"/>
      <c r="C320" s="190"/>
      <c r="D320" s="190"/>
      <c r="E320" s="275"/>
      <c r="F320" s="192"/>
      <c r="G320" s="190"/>
      <c r="H320" s="193"/>
      <c r="I320" s="276"/>
      <c r="J320" s="194"/>
      <c r="K320" s="195">
        <f t="shared" si="45"/>
        <v>31</v>
      </c>
      <c r="L320" s="195">
        <f t="shared" si="45"/>
        <v>31</v>
      </c>
      <c r="M320" s="190"/>
      <c r="N320" s="196"/>
      <c r="O320" s="197"/>
      <c r="P320" s="198" t="str">
        <f t="shared" si="43"/>
        <v/>
      </c>
    </row>
    <row r="321" spans="2:16" x14ac:dyDescent="0.35">
      <c r="B321" s="190"/>
      <c r="C321" s="190"/>
      <c r="D321" s="190"/>
      <c r="E321" s="275"/>
      <c r="F321" s="192"/>
      <c r="G321" s="190"/>
      <c r="H321" s="193"/>
      <c r="I321" s="276"/>
      <c r="J321" s="194"/>
      <c r="K321" s="195">
        <f t="shared" si="45"/>
        <v>31</v>
      </c>
      <c r="L321" s="195">
        <f t="shared" si="45"/>
        <v>31</v>
      </c>
      <c r="M321" s="190"/>
      <c r="N321" s="196"/>
      <c r="O321" s="197"/>
      <c r="P321" s="198" t="str">
        <f t="shared" si="43"/>
        <v/>
      </c>
    </row>
    <row r="322" spans="2:16" x14ac:dyDescent="0.35">
      <c r="B322" s="190"/>
      <c r="C322" s="190"/>
      <c r="D322" s="190"/>
      <c r="E322" s="275"/>
      <c r="F322" s="192"/>
      <c r="G322" s="190"/>
      <c r="H322" s="193"/>
      <c r="I322" s="276"/>
      <c r="J322" s="194"/>
      <c r="K322" s="195">
        <f t="shared" si="45"/>
        <v>31</v>
      </c>
      <c r="L322" s="195">
        <f t="shared" si="45"/>
        <v>31</v>
      </c>
      <c r="M322" s="190"/>
      <c r="N322" s="196"/>
      <c r="O322" s="197"/>
      <c r="P322" s="198" t="str">
        <f t="shared" si="43"/>
        <v/>
      </c>
    </row>
    <row r="323" spans="2:16" x14ac:dyDescent="0.35">
      <c r="B323" s="190"/>
      <c r="C323" s="190"/>
      <c r="D323" s="190"/>
      <c r="E323" s="275"/>
      <c r="F323" s="192"/>
      <c r="G323" s="190"/>
      <c r="H323" s="193"/>
      <c r="I323" s="276"/>
      <c r="J323" s="194"/>
      <c r="K323" s="195">
        <f t="shared" si="45"/>
        <v>31</v>
      </c>
      <c r="L323" s="195">
        <f t="shared" si="45"/>
        <v>31</v>
      </c>
      <c r="M323" s="190"/>
      <c r="N323" s="196"/>
      <c r="O323" s="197"/>
      <c r="P323" s="198" t="str">
        <f t="shared" si="43"/>
        <v/>
      </c>
    </row>
    <row r="324" spans="2:16" x14ac:dyDescent="0.35">
      <c r="B324" s="190"/>
      <c r="C324" s="190"/>
      <c r="D324" s="190"/>
      <c r="E324" s="275"/>
      <c r="F324" s="192"/>
      <c r="G324" s="190"/>
      <c r="H324" s="193"/>
      <c r="I324" s="276"/>
      <c r="J324" s="194"/>
      <c r="K324" s="195">
        <f t="shared" si="45"/>
        <v>31</v>
      </c>
      <c r="L324" s="195">
        <f t="shared" si="45"/>
        <v>31</v>
      </c>
      <c r="M324" s="190"/>
      <c r="N324" s="196"/>
      <c r="O324" s="197"/>
      <c r="P324" s="198" t="str">
        <f t="shared" si="43"/>
        <v/>
      </c>
    </row>
    <row r="325" spans="2:16" x14ac:dyDescent="0.35">
      <c r="B325" s="190"/>
      <c r="C325" s="190"/>
      <c r="D325" s="190"/>
      <c r="E325" s="275"/>
      <c r="F325" s="192"/>
      <c r="G325" s="190"/>
      <c r="H325" s="193"/>
      <c r="I325" s="276"/>
      <c r="J325" s="194"/>
      <c r="K325" s="195">
        <f t="shared" si="45"/>
        <v>31</v>
      </c>
      <c r="L325" s="195">
        <f t="shared" si="45"/>
        <v>31</v>
      </c>
      <c r="M325" s="190"/>
      <c r="N325" s="196"/>
      <c r="O325" s="197"/>
      <c r="P325" s="198" t="str">
        <f t="shared" si="43"/>
        <v/>
      </c>
    </row>
    <row r="326" spans="2:16" x14ac:dyDescent="0.35">
      <c r="B326" s="190"/>
      <c r="C326" s="190"/>
      <c r="D326" s="190"/>
      <c r="E326" s="275"/>
      <c r="F326" s="192"/>
      <c r="G326" s="190"/>
      <c r="H326" s="193"/>
      <c r="I326" s="276"/>
      <c r="J326" s="194"/>
      <c r="K326" s="195">
        <f t="shared" si="45"/>
        <v>31</v>
      </c>
      <c r="L326" s="195">
        <f t="shared" si="45"/>
        <v>31</v>
      </c>
      <c r="M326" s="190"/>
      <c r="N326" s="196"/>
      <c r="O326" s="197"/>
      <c r="P326" s="198" t="str">
        <f t="shared" si="43"/>
        <v/>
      </c>
    </row>
    <row r="327" spans="2:16" x14ac:dyDescent="0.35">
      <c r="B327" s="190"/>
      <c r="C327" s="190"/>
      <c r="D327" s="190"/>
      <c r="E327" s="275"/>
      <c r="F327" s="192"/>
      <c r="G327" s="190"/>
      <c r="H327" s="193"/>
      <c r="I327" s="276"/>
      <c r="J327" s="194"/>
      <c r="K327" s="195">
        <f t="shared" si="45"/>
        <v>31</v>
      </c>
      <c r="L327" s="195">
        <f t="shared" si="45"/>
        <v>31</v>
      </c>
      <c r="M327" s="190"/>
      <c r="N327" s="196"/>
      <c r="O327" s="197"/>
      <c r="P327" s="198" t="str">
        <f t="shared" si="43"/>
        <v/>
      </c>
    </row>
    <row r="328" spans="2:16" x14ac:dyDescent="0.35">
      <c r="B328" s="190"/>
      <c r="C328" s="190"/>
      <c r="D328" s="190"/>
      <c r="E328" s="275"/>
      <c r="F328" s="192"/>
      <c r="G328" s="190"/>
      <c r="H328" s="193"/>
      <c r="I328" s="276"/>
      <c r="J328" s="194"/>
      <c r="K328" s="195">
        <f t="shared" si="45"/>
        <v>31</v>
      </c>
      <c r="L328" s="195">
        <f t="shared" si="45"/>
        <v>31</v>
      </c>
      <c r="M328" s="190"/>
      <c r="N328" s="196"/>
      <c r="O328" s="197"/>
      <c r="P328" s="198" t="str">
        <f t="shared" ref="P328:P391" si="46">IF(H328="","",IF(($C$5-H328)/365&gt;1.5,"Renewed Lease","New Lease"))</f>
        <v/>
      </c>
    </row>
    <row r="329" spans="2:16" x14ac:dyDescent="0.35">
      <c r="B329" s="190"/>
      <c r="C329" s="190"/>
      <c r="D329" s="190"/>
      <c r="E329" s="275"/>
      <c r="F329" s="192"/>
      <c r="G329" s="190"/>
      <c r="H329" s="193"/>
      <c r="I329" s="276"/>
      <c r="J329" s="194"/>
      <c r="K329" s="195">
        <f t="shared" si="45"/>
        <v>31</v>
      </c>
      <c r="L329" s="195">
        <f t="shared" si="45"/>
        <v>31</v>
      </c>
      <c r="M329" s="190"/>
      <c r="N329" s="196"/>
      <c r="O329" s="197"/>
      <c r="P329" s="198" t="str">
        <f t="shared" si="46"/>
        <v/>
      </c>
    </row>
    <row r="330" spans="2:16" x14ac:dyDescent="0.35">
      <c r="B330" s="190"/>
      <c r="C330" s="190"/>
      <c r="D330" s="190"/>
      <c r="E330" s="275"/>
      <c r="F330" s="192"/>
      <c r="G330" s="190"/>
      <c r="H330" s="193"/>
      <c r="I330" s="276"/>
      <c r="J330" s="194"/>
      <c r="K330" s="195">
        <f t="shared" si="45"/>
        <v>31</v>
      </c>
      <c r="L330" s="195">
        <f t="shared" si="45"/>
        <v>31</v>
      </c>
      <c r="M330" s="190"/>
      <c r="N330" s="196"/>
      <c r="O330" s="197"/>
      <c r="P330" s="198" t="str">
        <f t="shared" si="46"/>
        <v/>
      </c>
    </row>
    <row r="331" spans="2:16" x14ac:dyDescent="0.35">
      <c r="B331" s="190"/>
      <c r="C331" s="190"/>
      <c r="D331" s="190"/>
      <c r="E331" s="275"/>
      <c r="F331" s="192"/>
      <c r="G331" s="190"/>
      <c r="H331" s="193"/>
      <c r="I331" s="276"/>
      <c r="J331" s="194"/>
      <c r="K331" s="195">
        <f t="shared" si="45"/>
        <v>31</v>
      </c>
      <c r="L331" s="195">
        <f t="shared" si="45"/>
        <v>31</v>
      </c>
      <c r="M331" s="190"/>
      <c r="N331" s="196"/>
      <c r="O331" s="197"/>
      <c r="P331" s="198" t="str">
        <f t="shared" si="46"/>
        <v/>
      </c>
    </row>
    <row r="332" spans="2:16" x14ac:dyDescent="0.35">
      <c r="B332" s="190"/>
      <c r="C332" s="190"/>
      <c r="D332" s="190"/>
      <c r="E332" s="275"/>
      <c r="F332" s="192"/>
      <c r="G332" s="190"/>
      <c r="H332" s="193"/>
      <c r="I332" s="276"/>
      <c r="J332" s="194"/>
      <c r="K332" s="195">
        <f t="shared" si="45"/>
        <v>31</v>
      </c>
      <c r="L332" s="195">
        <f t="shared" si="45"/>
        <v>31</v>
      </c>
      <c r="M332" s="190"/>
      <c r="N332" s="196"/>
      <c r="O332" s="197"/>
      <c r="P332" s="198" t="str">
        <f t="shared" si="46"/>
        <v/>
      </c>
    </row>
    <row r="333" spans="2:16" x14ac:dyDescent="0.35">
      <c r="B333" s="190"/>
      <c r="C333" s="190"/>
      <c r="D333" s="190"/>
      <c r="E333" s="275"/>
      <c r="F333" s="192"/>
      <c r="G333" s="190"/>
      <c r="H333" s="193"/>
      <c r="I333" s="276"/>
      <c r="J333" s="194"/>
      <c r="K333" s="195">
        <f t="shared" si="45"/>
        <v>31</v>
      </c>
      <c r="L333" s="195">
        <f t="shared" si="45"/>
        <v>31</v>
      </c>
      <c r="M333" s="190"/>
      <c r="N333" s="196"/>
      <c r="O333" s="197"/>
      <c r="P333" s="198" t="str">
        <f t="shared" si="46"/>
        <v/>
      </c>
    </row>
    <row r="334" spans="2:16" x14ac:dyDescent="0.35">
      <c r="B334" s="190"/>
      <c r="C334" s="190"/>
      <c r="D334" s="190"/>
      <c r="E334" s="275"/>
      <c r="F334" s="192"/>
      <c r="G334" s="190"/>
      <c r="H334" s="193"/>
      <c r="I334" s="276"/>
      <c r="J334" s="194"/>
      <c r="K334" s="195">
        <f t="shared" si="45"/>
        <v>31</v>
      </c>
      <c r="L334" s="195">
        <f t="shared" si="45"/>
        <v>31</v>
      </c>
      <c r="M334" s="190"/>
      <c r="N334" s="196"/>
      <c r="O334" s="197"/>
      <c r="P334" s="198" t="str">
        <f t="shared" si="46"/>
        <v/>
      </c>
    </row>
    <row r="335" spans="2:16" x14ac:dyDescent="0.35">
      <c r="B335" s="190"/>
      <c r="C335" s="190"/>
      <c r="D335" s="190"/>
      <c r="E335" s="275"/>
      <c r="F335" s="192"/>
      <c r="G335" s="190"/>
      <c r="H335" s="193"/>
      <c r="I335" s="276"/>
      <c r="J335" s="194"/>
      <c r="K335" s="195">
        <f t="shared" si="45"/>
        <v>31</v>
      </c>
      <c r="L335" s="195">
        <f t="shared" si="45"/>
        <v>31</v>
      </c>
      <c r="M335" s="190"/>
      <c r="N335" s="196"/>
      <c r="O335" s="197"/>
      <c r="P335" s="198" t="str">
        <f t="shared" si="46"/>
        <v/>
      </c>
    </row>
    <row r="336" spans="2:16" x14ac:dyDescent="0.35">
      <c r="B336" s="190"/>
      <c r="C336" s="190"/>
      <c r="D336" s="190"/>
      <c r="E336" s="275"/>
      <c r="F336" s="192"/>
      <c r="G336" s="190"/>
      <c r="H336" s="193"/>
      <c r="I336" s="276"/>
      <c r="J336" s="194"/>
      <c r="K336" s="195">
        <f t="shared" si="45"/>
        <v>31</v>
      </c>
      <c r="L336" s="195">
        <f t="shared" si="45"/>
        <v>31</v>
      </c>
      <c r="M336" s="190"/>
      <c r="N336" s="196"/>
      <c r="O336" s="197"/>
      <c r="P336" s="198" t="str">
        <f t="shared" si="46"/>
        <v/>
      </c>
    </row>
    <row r="337" spans="2:16" x14ac:dyDescent="0.35">
      <c r="B337" s="190"/>
      <c r="C337" s="190"/>
      <c r="D337" s="190"/>
      <c r="E337" s="275"/>
      <c r="F337" s="192"/>
      <c r="G337" s="190"/>
      <c r="H337" s="193"/>
      <c r="I337" s="276"/>
      <c r="J337" s="194"/>
      <c r="K337" s="195">
        <f t="shared" ref="K337:L400" si="47">EOMONTH(I337,0)</f>
        <v>31</v>
      </c>
      <c r="L337" s="195">
        <f t="shared" si="47"/>
        <v>31</v>
      </c>
      <c r="M337" s="190"/>
      <c r="N337" s="196"/>
      <c r="O337" s="197"/>
      <c r="P337" s="198" t="str">
        <f t="shared" si="46"/>
        <v/>
      </c>
    </row>
    <row r="338" spans="2:16" x14ac:dyDescent="0.35">
      <c r="B338" s="190"/>
      <c r="C338" s="190"/>
      <c r="D338" s="190"/>
      <c r="E338" s="275"/>
      <c r="F338" s="192"/>
      <c r="G338" s="190"/>
      <c r="H338" s="193"/>
      <c r="I338" s="276"/>
      <c r="J338" s="194"/>
      <c r="K338" s="195">
        <f t="shared" si="47"/>
        <v>31</v>
      </c>
      <c r="L338" s="195">
        <f t="shared" si="47"/>
        <v>31</v>
      </c>
      <c r="M338" s="190"/>
      <c r="N338" s="196"/>
      <c r="O338" s="197"/>
      <c r="P338" s="198" t="str">
        <f t="shared" si="46"/>
        <v/>
      </c>
    </row>
    <row r="339" spans="2:16" x14ac:dyDescent="0.35">
      <c r="B339" s="190"/>
      <c r="C339" s="190"/>
      <c r="D339" s="190"/>
      <c r="E339" s="275"/>
      <c r="F339" s="192"/>
      <c r="G339" s="190"/>
      <c r="H339" s="193"/>
      <c r="I339" s="276"/>
      <c r="J339" s="194"/>
      <c r="K339" s="195">
        <f t="shared" si="47"/>
        <v>31</v>
      </c>
      <c r="L339" s="195">
        <f t="shared" si="47"/>
        <v>31</v>
      </c>
      <c r="M339" s="190"/>
      <c r="N339" s="196"/>
      <c r="O339" s="197"/>
      <c r="P339" s="198" t="str">
        <f t="shared" si="46"/>
        <v/>
      </c>
    </row>
    <row r="340" spans="2:16" x14ac:dyDescent="0.35">
      <c r="B340" s="190"/>
      <c r="C340" s="190"/>
      <c r="D340" s="190"/>
      <c r="E340" s="275"/>
      <c r="F340" s="192"/>
      <c r="G340" s="190"/>
      <c r="H340" s="193"/>
      <c r="I340" s="276"/>
      <c r="J340" s="194"/>
      <c r="K340" s="195">
        <f t="shared" si="47"/>
        <v>31</v>
      </c>
      <c r="L340" s="195">
        <f t="shared" si="47"/>
        <v>31</v>
      </c>
      <c r="M340" s="190"/>
      <c r="N340" s="196"/>
      <c r="O340" s="197"/>
      <c r="P340" s="198" t="str">
        <f t="shared" si="46"/>
        <v/>
      </c>
    </row>
    <row r="341" spans="2:16" x14ac:dyDescent="0.35">
      <c r="B341" s="190"/>
      <c r="C341" s="190"/>
      <c r="D341" s="190"/>
      <c r="E341" s="275"/>
      <c r="F341" s="192"/>
      <c r="G341" s="190"/>
      <c r="H341" s="193"/>
      <c r="I341" s="276"/>
      <c r="J341" s="194"/>
      <c r="K341" s="195">
        <f t="shared" si="47"/>
        <v>31</v>
      </c>
      <c r="L341" s="195">
        <f t="shared" si="47"/>
        <v>31</v>
      </c>
      <c r="M341" s="190"/>
      <c r="N341" s="196"/>
      <c r="O341" s="197"/>
      <c r="P341" s="198" t="str">
        <f t="shared" si="46"/>
        <v/>
      </c>
    </row>
    <row r="342" spans="2:16" x14ac:dyDescent="0.35">
      <c r="B342" s="190"/>
      <c r="C342" s="190"/>
      <c r="D342" s="190"/>
      <c r="E342" s="275"/>
      <c r="F342" s="192"/>
      <c r="G342" s="190"/>
      <c r="H342" s="193"/>
      <c r="I342" s="276"/>
      <c r="J342" s="194"/>
      <c r="K342" s="195">
        <f t="shared" si="47"/>
        <v>31</v>
      </c>
      <c r="L342" s="195">
        <f t="shared" si="47"/>
        <v>31</v>
      </c>
      <c r="M342" s="190"/>
      <c r="N342" s="196"/>
      <c r="O342" s="197"/>
      <c r="P342" s="198" t="str">
        <f t="shared" si="46"/>
        <v/>
      </c>
    </row>
    <row r="343" spans="2:16" x14ac:dyDescent="0.35">
      <c r="B343" s="190"/>
      <c r="C343" s="190"/>
      <c r="D343" s="190"/>
      <c r="E343" s="275"/>
      <c r="F343" s="192"/>
      <c r="G343" s="190"/>
      <c r="H343" s="193"/>
      <c r="I343" s="276"/>
      <c r="J343" s="194"/>
      <c r="K343" s="195">
        <f t="shared" si="47"/>
        <v>31</v>
      </c>
      <c r="L343" s="195">
        <f t="shared" si="47"/>
        <v>31</v>
      </c>
      <c r="M343" s="190"/>
      <c r="N343" s="196"/>
      <c r="O343" s="197"/>
      <c r="P343" s="198" t="str">
        <f t="shared" si="46"/>
        <v/>
      </c>
    </row>
    <row r="344" spans="2:16" x14ac:dyDescent="0.35">
      <c r="B344" s="190"/>
      <c r="C344" s="190"/>
      <c r="D344" s="190"/>
      <c r="E344" s="275"/>
      <c r="F344" s="192"/>
      <c r="G344" s="190"/>
      <c r="H344" s="193"/>
      <c r="I344" s="276"/>
      <c r="J344" s="194"/>
      <c r="K344" s="195">
        <f t="shared" si="47"/>
        <v>31</v>
      </c>
      <c r="L344" s="195">
        <f t="shared" si="47"/>
        <v>31</v>
      </c>
      <c r="M344" s="190"/>
      <c r="N344" s="196"/>
      <c r="O344" s="197"/>
      <c r="P344" s="198" t="str">
        <f t="shared" si="46"/>
        <v/>
      </c>
    </row>
    <row r="345" spans="2:16" x14ac:dyDescent="0.35">
      <c r="B345" s="190"/>
      <c r="C345" s="190"/>
      <c r="D345" s="190"/>
      <c r="E345" s="275"/>
      <c r="F345" s="192"/>
      <c r="G345" s="190"/>
      <c r="H345" s="193"/>
      <c r="I345" s="276"/>
      <c r="J345" s="194"/>
      <c r="K345" s="195">
        <f t="shared" si="47"/>
        <v>31</v>
      </c>
      <c r="L345" s="195">
        <f t="shared" si="47"/>
        <v>31</v>
      </c>
      <c r="M345" s="190"/>
      <c r="N345" s="196"/>
      <c r="O345" s="197"/>
      <c r="P345" s="198" t="str">
        <f t="shared" si="46"/>
        <v/>
      </c>
    </row>
    <row r="346" spans="2:16" x14ac:dyDescent="0.35">
      <c r="B346" s="190"/>
      <c r="C346" s="190"/>
      <c r="D346" s="190"/>
      <c r="E346" s="275"/>
      <c r="F346" s="192"/>
      <c r="G346" s="190"/>
      <c r="H346" s="193"/>
      <c r="I346" s="276"/>
      <c r="J346" s="194"/>
      <c r="K346" s="195">
        <f t="shared" si="47"/>
        <v>31</v>
      </c>
      <c r="L346" s="195">
        <f t="shared" si="47"/>
        <v>31</v>
      </c>
      <c r="M346" s="190"/>
      <c r="N346" s="196"/>
      <c r="O346" s="197"/>
      <c r="P346" s="198" t="str">
        <f t="shared" si="46"/>
        <v/>
      </c>
    </row>
    <row r="347" spans="2:16" x14ac:dyDescent="0.35">
      <c r="B347" s="190"/>
      <c r="C347" s="190"/>
      <c r="D347" s="190"/>
      <c r="E347" s="275"/>
      <c r="F347" s="192"/>
      <c r="G347" s="190"/>
      <c r="H347" s="193"/>
      <c r="I347" s="276"/>
      <c r="J347" s="194"/>
      <c r="K347" s="195">
        <f t="shared" si="47"/>
        <v>31</v>
      </c>
      <c r="L347" s="195">
        <f t="shared" si="47"/>
        <v>31</v>
      </c>
      <c r="M347" s="190"/>
      <c r="N347" s="196"/>
      <c r="O347" s="197"/>
      <c r="P347" s="198" t="str">
        <f t="shared" si="46"/>
        <v/>
      </c>
    </row>
    <row r="348" spans="2:16" x14ac:dyDescent="0.35">
      <c r="B348" s="190"/>
      <c r="C348" s="190"/>
      <c r="D348" s="190"/>
      <c r="E348" s="275"/>
      <c r="F348" s="192"/>
      <c r="G348" s="190"/>
      <c r="H348" s="193"/>
      <c r="I348" s="276"/>
      <c r="J348" s="194"/>
      <c r="K348" s="195">
        <f t="shared" si="47"/>
        <v>31</v>
      </c>
      <c r="L348" s="195">
        <f t="shared" si="47"/>
        <v>31</v>
      </c>
      <c r="M348" s="190"/>
      <c r="N348" s="196"/>
      <c r="O348" s="197"/>
      <c r="P348" s="198" t="str">
        <f t="shared" si="46"/>
        <v/>
      </c>
    </row>
    <row r="349" spans="2:16" x14ac:dyDescent="0.35">
      <c r="B349" s="190"/>
      <c r="C349" s="190"/>
      <c r="D349" s="190"/>
      <c r="E349" s="275"/>
      <c r="F349" s="192"/>
      <c r="G349" s="190"/>
      <c r="H349" s="193"/>
      <c r="I349" s="276"/>
      <c r="J349" s="194"/>
      <c r="K349" s="195">
        <f t="shared" si="47"/>
        <v>31</v>
      </c>
      <c r="L349" s="195">
        <f t="shared" si="47"/>
        <v>31</v>
      </c>
      <c r="M349" s="190"/>
      <c r="N349" s="196"/>
      <c r="O349" s="197"/>
      <c r="P349" s="198" t="str">
        <f t="shared" si="46"/>
        <v/>
      </c>
    </row>
    <row r="350" spans="2:16" x14ac:dyDescent="0.35">
      <c r="B350" s="190"/>
      <c r="C350" s="190"/>
      <c r="D350" s="190"/>
      <c r="E350" s="275"/>
      <c r="F350" s="192"/>
      <c r="G350" s="190"/>
      <c r="H350" s="193"/>
      <c r="I350" s="276"/>
      <c r="J350" s="194"/>
      <c r="K350" s="195">
        <f t="shared" si="47"/>
        <v>31</v>
      </c>
      <c r="L350" s="195">
        <f t="shared" si="47"/>
        <v>31</v>
      </c>
      <c r="M350" s="190"/>
      <c r="N350" s="196"/>
      <c r="O350" s="197"/>
      <c r="P350" s="198" t="str">
        <f t="shared" si="46"/>
        <v/>
      </c>
    </row>
    <row r="351" spans="2:16" x14ac:dyDescent="0.35">
      <c r="B351" s="190"/>
      <c r="C351" s="190"/>
      <c r="D351" s="190"/>
      <c r="E351" s="275"/>
      <c r="F351" s="192"/>
      <c r="G351" s="190"/>
      <c r="H351" s="193"/>
      <c r="I351" s="276"/>
      <c r="J351" s="194"/>
      <c r="K351" s="195">
        <f t="shared" si="47"/>
        <v>31</v>
      </c>
      <c r="L351" s="195">
        <f t="shared" si="47"/>
        <v>31</v>
      </c>
      <c r="M351" s="190"/>
      <c r="N351" s="196"/>
      <c r="O351" s="197"/>
      <c r="P351" s="198" t="str">
        <f t="shared" si="46"/>
        <v/>
      </c>
    </row>
    <row r="352" spans="2:16" x14ac:dyDescent="0.35">
      <c r="B352" s="190"/>
      <c r="C352" s="190"/>
      <c r="D352" s="190"/>
      <c r="E352" s="275"/>
      <c r="F352" s="192"/>
      <c r="G352" s="190"/>
      <c r="H352" s="193"/>
      <c r="I352" s="276"/>
      <c r="J352" s="194"/>
      <c r="K352" s="195">
        <f t="shared" si="47"/>
        <v>31</v>
      </c>
      <c r="L352" s="195">
        <f t="shared" si="47"/>
        <v>31</v>
      </c>
      <c r="M352" s="190"/>
      <c r="N352" s="196"/>
      <c r="O352" s="197"/>
      <c r="P352" s="198" t="str">
        <f t="shared" si="46"/>
        <v/>
      </c>
    </row>
    <row r="353" spans="2:16" x14ac:dyDescent="0.35">
      <c r="B353" s="190"/>
      <c r="C353" s="190"/>
      <c r="D353" s="190"/>
      <c r="E353" s="275"/>
      <c r="F353" s="192"/>
      <c r="G353" s="190"/>
      <c r="H353" s="193"/>
      <c r="I353" s="276"/>
      <c r="J353" s="194"/>
      <c r="K353" s="195">
        <f t="shared" si="47"/>
        <v>31</v>
      </c>
      <c r="L353" s="195">
        <f t="shared" si="47"/>
        <v>31</v>
      </c>
      <c r="M353" s="190"/>
      <c r="N353" s="196"/>
      <c r="O353" s="197"/>
      <c r="P353" s="198" t="str">
        <f t="shared" si="46"/>
        <v/>
      </c>
    </row>
    <row r="354" spans="2:16" x14ac:dyDescent="0.35">
      <c r="B354" s="190"/>
      <c r="C354" s="190"/>
      <c r="D354" s="190"/>
      <c r="E354" s="275"/>
      <c r="F354" s="192"/>
      <c r="G354" s="190"/>
      <c r="H354" s="193"/>
      <c r="I354" s="276"/>
      <c r="J354" s="194"/>
      <c r="K354" s="195">
        <f t="shared" si="47"/>
        <v>31</v>
      </c>
      <c r="L354" s="195">
        <f t="shared" si="47"/>
        <v>31</v>
      </c>
      <c r="M354" s="190"/>
      <c r="N354" s="196"/>
      <c r="O354" s="197"/>
      <c r="P354" s="198" t="str">
        <f t="shared" si="46"/>
        <v/>
      </c>
    </row>
    <row r="355" spans="2:16" x14ac:dyDescent="0.35">
      <c r="B355" s="190"/>
      <c r="C355" s="190"/>
      <c r="D355" s="190"/>
      <c r="E355" s="275"/>
      <c r="F355" s="192"/>
      <c r="G355" s="190"/>
      <c r="H355" s="193"/>
      <c r="I355" s="276"/>
      <c r="J355" s="194"/>
      <c r="K355" s="195">
        <f t="shared" si="47"/>
        <v>31</v>
      </c>
      <c r="L355" s="195">
        <f t="shared" si="47"/>
        <v>31</v>
      </c>
      <c r="M355" s="190"/>
      <c r="N355" s="196"/>
      <c r="O355" s="197"/>
      <c r="P355" s="198" t="str">
        <f t="shared" si="46"/>
        <v/>
      </c>
    </row>
    <row r="356" spans="2:16" x14ac:dyDescent="0.35">
      <c r="B356" s="190"/>
      <c r="C356" s="190"/>
      <c r="D356" s="190"/>
      <c r="E356" s="275"/>
      <c r="F356" s="192"/>
      <c r="G356" s="190"/>
      <c r="H356" s="193"/>
      <c r="I356" s="276"/>
      <c r="J356" s="194"/>
      <c r="K356" s="195">
        <f t="shared" si="47"/>
        <v>31</v>
      </c>
      <c r="L356" s="195">
        <f t="shared" si="47"/>
        <v>31</v>
      </c>
      <c r="M356" s="190"/>
      <c r="N356" s="196"/>
      <c r="O356" s="197"/>
      <c r="P356" s="198" t="str">
        <f t="shared" si="46"/>
        <v/>
      </c>
    </row>
    <row r="357" spans="2:16" x14ac:dyDescent="0.35">
      <c r="B357" s="190"/>
      <c r="C357" s="190"/>
      <c r="D357" s="190"/>
      <c r="E357" s="275"/>
      <c r="F357" s="192"/>
      <c r="G357" s="190"/>
      <c r="H357" s="193"/>
      <c r="I357" s="276"/>
      <c r="J357" s="194"/>
      <c r="K357" s="195">
        <f t="shared" si="47"/>
        <v>31</v>
      </c>
      <c r="L357" s="195">
        <f t="shared" si="47"/>
        <v>31</v>
      </c>
      <c r="M357" s="190"/>
      <c r="N357" s="196"/>
      <c r="O357" s="197"/>
      <c r="P357" s="198" t="str">
        <f t="shared" si="46"/>
        <v/>
      </c>
    </row>
    <row r="358" spans="2:16" x14ac:dyDescent="0.35">
      <c r="B358" s="190"/>
      <c r="C358" s="190"/>
      <c r="D358" s="190"/>
      <c r="E358" s="275"/>
      <c r="F358" s="192"/>
      <c r="G358" s="190"/>
      <c r="H358" s="193"/>
      <c r="I358" s="276"/>
      <c r="J358" s="194"/>
      <c r="K358" s="195">
        <f t="shared" si="47"/>
        <v>31</v>
      </c>
      <c r="L358" s="195">
        <f t="shared" si="47"/>
        <v>31</v>
      </c>
      <c r="M358" s="190"/>
      <c r="N358" s="196"/>
      <c r="O358" s="197"/>
      <c r="P358" s="198" t="str">
        <f t="shared" si="46"/>
        <v/>
      </c>
    </row>
    <row r="359" spans="2:16" x14ac:dyDescent="0.35">
      <c r="B359" s="190"/>
      <c r="C359" s="190"/>
      <c r="D359" s="190"/>
      <c r="E359" s="275"/>
      <c r="F359" s="192"/>
      <c r="G359" s="190"/>
      <c r="H359" s="193"/>
      <c r="I359" s="276"/>
      <c r="J359" s="194"/>
      <c r="K359" s="195">
        <f t="shared" si="47"/>
        <v>31</v>
      </c>
      <c r="L359" s="195">
        <f t="shared" si="47"/>
        <v>31</v>
      </c>
      <c r="M359" s="190"/>
      <c r="N359" s="196"/>
      <c r="O359" s="197"/>
      <c r="P359" s="198" t="str">
        <f t="shared" si="46"/>
        <v/>
      </c>
    </row>
    <row r="360" spans="2:16" x14ac:dyDescent="0.35">
      <c r="B360" s="190"/>
      <c r="C360" s="190"/>
      <c r="D360" s="190"/>
      <c r="E360" s="275"/>
      <c r="F360" s="192"/>
      <c r="G360" s="190"/>
      <c r="H360" s="193"/>
      <c r="I360" s="276"/>
      <c r="J360" s="194"/>
      <c r="K360" s="195">
        <f t="shared" si="47"/>
        <v>31</v>
      </c>
      <c r="L360" s="195">
        <f t="shared" si="47"/>
        <v>31</v>
      </c>
      <c r="M360" s="190"/>
      <c r="N360" s="196"/>
      <c r="O360" s="197"/>
      <c r="P360" s="198" t="str">
        <f t="shared" si="46"/>
        <v/>
      </c>
    </row>
    <row r="361" spans="2:16" x14ac:dyDescent="0.35">
      <c r="B361" s="190"/>
      <c r="C361" s="190"/>
      <c r="D361" s="190"/>
      <c r="E361" s="275"/>
      <c r="F361" s="192"/>
      <c r="G361" s="190"/>
      <c r="H361" s="193"/>
      <c r="I361" s="276"/>
      <c r="J361" s="194"/>
      <c r="K361" s="195">
        <f t="shared" si="47"/>
        <v>31</v>
      </c>
      <c r="L361" s="195">
        <f t="shared" si="47"/>
        <v>31</v>
      </c>
      <c r="M361" s="190"/>
      <c r="N361" s="196"/>
      <c r="O361" s="197"/>
      <c r="P361" s="198" t="str">
        <f t="shared" si="46"/>
        <v/>
      </c>
    </row>
    <row r="362" spans="2:16" x14ac:dyDescent="0.35">
      <c r="B362" s="190"/>
      <c r="C362" s="190"/>
      <c r="D362" s="190"/>
      <c r="E362" s="275"/>
      <c r="F362" s="192"/>
      <c r="G362" s="190"/>
      <c r="H362" s="193"/>
      <c r="I362" s="276"/>
      <c r="J362" s="194"/>
      <c r="K362" s="195">
        <f t="shared" si="47"/>
        <v>31</v>
      </c>
      <c r="L362" s="195">
        <f t="shared" si="47"/>
        <v>31</v>
      </c>
      <c r="M362" s="190"/>
      <c r="N362" s="196"/>
      <c r="O362" s="197"/>
      <c r="P362" s="198" t="str">
        <f t="shared" si="46"/>
        <v/>
      </c>
    </row>
    <row r="363" spans="2:16" x14ac:dyDescent="0.35">
      <c r="B363" s="190"/>
      <c r="C363" s="190"/>
      <c r="D363" s="190"/>
      <c r="E363" s="275"/>
      <c r="F363" s="192"/>
      <c r="G363" s="190"/>
      <c r="H363" s="193"/>
      <c r="I363" s="276"/>
      <c r="J363" s="194"/>
      <c r="K363" s="195">
        <f t="shared" si="47"/>
        <v>31</v>
      </c>
      <c r="L363" s="195">
        <f t="shared" si="47"/>
        <v>31</v>
      </c>
      <c r="M363" s="190"/>
      <c r="N363" s="196"/>
      <c r="O363" s="197"/>
      <c r="P363" s="198" t="str">
        <f t="shared" si="46"/>
        <v/>
      </c>
    </row>
    <row r="364" spans="2:16" x14ac:dyDescent="0.35">
      <c r="B364" s="190"/>
      <c r="C364" s="190"/>
      <c r="D364" s="190"/>
      <c r="E364" s="275"/>
      <c r="F364" s="192"/>
      <c r="G364" s="190"/>
      <c r="H364" s="193"/>
      <c r="I364" s="276"/>
      <c r="J364" s="194"/>
      <c r="K364" s="195">
        <f t="shared" si="47"/>
        <v>31</v>
      </c>
      <c r="L364" s="195">
        <f t="shared" si="47"/>
        <v>31</v>
      </c>
      <c r="M364" s="190"/>
      <c r="N364" s="196"/>
      <c r="O364" s="197"/>
      <c r="P364" s="198" t="str">
        <f t="shared" si="46"/>
        <v/>
      </c>
    </row>
    <row r="365" spans="2:16" x14ac:dyDescent="0.35">
      <c r="B365" s="190"/>
      <c r="C365" s="190"/>
      <c r="D365" s="190"/>
      <c r="E365" s="275"/>
      <c r="F365" s="192"/>
      <c r="G365" s="190"/>
      <c r="H365" s="193"/>
      <c r="I365" s="276"/>
      <c r="J365" s="194"/>
      <c r="K365" s="195">
        <f t="shared" si="47"/>
        <v>31</v>
      </c>
      <c r="L365" s="195">
        <f t="shared" si="47"/>
        <v>31</v>
      </c>
      <c r="M365" s="190"/>
      <c r="N365" s="196"/>
      <c r="O365" s="197"/>
      <c r="P365" s="198" t="str">
        <f t="shared" si="46"/>
        <v/>
      </c>
    </row>
    <row r="366" spans="2:16" x14ac:dyDescent="0.35">
      <c r="B366" s="190"/>
      <c r="C366" s="190"/>
      <c r="D366" s="190"/>
      <c r="E366" s="275"/>
      <c r="F366" s="192"/>
      <c r="G366" s="190"/>
      <c r="H366" s="193"/>
      <c r="I366" s="276"/>
      <c r="J366" s="194"/>
      <c r="K366" s="195">
        <f t="shared" si="47"/>
        <v>31</v>
      </c>
      <c r="L366" s="195">
        <f t="shared" si="47"/>
        <v>31</v>
      </c>
      <c r="M366" s="190"/>
      <c r="N366" s="196"/>
      <c r="O366" s="197"/>
      <c r="P366" s="198" t="str">
        <f t="shared" si="46"/>
        <v/>
      </c>
    </row>
    <row r="367" spans="2:16" x14ac:dyDescent="0.35">
      <c r="B367" s="190"/>
      <c r="C367" s="190"/>
      <c r="D367" s="190"/>
      <c r="E367" s="275"/>
      <c r="F367" s="192"/>
      <c r="G367" s="190"/>
      <c r="H367" s="193"/>
      <c r="I367" s="276"/>
      <c r="J367" s="194"/>
      <c r="K367" s="195">
        <f t="shared" si="47"/>
        <v>31</v>
      </c>
      <c r="L367" s="195">
        <f t="shared" si="47"/>
        <v>31</v>
      </c>
      <c r="M367" s="190"/>
      <c r="N367" s="196"/>
      <c r="O367" s="197"/>
      <c r="P367" s="198" t="str">
        <f t="shared" si="46"/>
        <v/>
      </c>
    </row>
    <row r="368" spans="2:16" x14ac:dyDescent="0.35">
      <c r="B368" s="190"/>
      <c r="C368" s="190"/>
      <c r="D368" s="190"/>
      <c r="E368" s="275"/>
      <c r="F368" s="192"/>
      <c r="G368" s="190"/>
      <c r="H368" s="193"/>
      <c r="I368" s="276"/>
      <c r="J368" s="194"/>
      <c r="K368" s="195">
        <f t="shared" si="47"/>
        <v>31</v>
      </c>
      <c r="L368" s="195">
        <f t="shared" si="47"/>
        <v>31</v>
      </c>
      <c r="M368" s="190"/>
      <c r="N368" s="196"/>
      <c r="O368" s="197"/>
      <c r="P368" s="198" t="str">
        <f t="shared" si="46"/>
        <v/>
      </c>
    </row>
    <row r="369" spans="2:16" x14ac:dyDescent="0.35">
      <c r="B369" s="190"/>
      <c r="C369" s="190"/>
      <c r="D369" s="190"/>
      <c r="E369" s="275"/>
      <c r="F369" s="192"/>
      <c r="G369" s="190"/>
      <c r="H369" s="193"/>
      <c r="I369" s="276"/>
      <c r="J369" s="194"/>
      <c r="K369" s="195">
        <f t="shared" si="47"/>
        <v>31</v>
      </c>
      <c r="L369" s="195">
        <f t="shared" si="47"/>
        <v>31</v>
      </c>
      <c r="M369" s="190"/>
      <c r="N369" s="196"/>
      <c r="O369" s="197"/>
      <c r="P369" s="198" t="str">
        <f t="shared" si="46"/>
        <v/>
      </c>
    </row>
    <row r="370" spans="2:16" x14ac:dyDescent="0.35">
      <c r="B370" s="190"/>
      <c r="C370" s="190"/>
      <c r="D370" s="190"/>
      <c r="E370" s="275"/>
      <c r="F370" s="192"/>
      <c r="G370" s="190"/>
      <c r="H370" s="193"/>
      <c r="I370" s="276"/>
      <c r="J370" s="194"/>
      <c r="K370" s="195">
        <f t="shared" si="47"/>
        <v>31</v>
      </c>
      <c r="L370" s="195">
        <f t="shared" si="47"/>
        <v>31</v>
      </c>
      <c r="M370" s="190"/>
      <c r="N370" s="196"/>
      <c r="O370" s="197"/>
      <c r="P370" s="198" t="str">
        <f t="shared" si="46"/>
        <v/>
      </c>
    </row>
    <row r="371" spans="2:16" x14ac:dyDescent="0.35">
      <c r="B371" s="190"/>
      <c r="C371" s="190"/>
      <c r="D371" s="190"/>
      <c r="E371" s="275"/>
      <c r="F371" s="192"/>
      <c r="G371" s="190"/>
      <c r="H371" s="193"/>
      <c r="I371" s="276"/>
      <c r="J371" s="194"/>
      <c r="K371" s="195">
        <f t="shared" si="47"/>
        <v>31</v>
      </c>
      <c r="L371" s="195">
        <f t="shared" si="47"/>
        <v>31</v>
      </c>
      <c r="M371" s="190"/>
      <c r="N371" s="196"/>
      <c r="O371" s="197"/>
      <c r="P371" s="198" t="str">
        <f t="shared" si="46"/>
        <v/>
      </c>
    </row>
    <row r="372" spans="2:16" x14ac:dyDescent="0.35">
      <c r="B372" s="190"/>
      <c r="C372" s="190"/>
      <c r="D372" s="190"/>
      <c r="E372" s="275"/>
      <c r="F372" s="192"/>
      <c r="G372" s="190"/>
      <c r="H372" s="193"/>
      <c r="I372" s="276"/>
      <c r="J372" s="194"/>
      <c r="K372" s="195">
        <f t="shared" si="47"/>
        <v>31</v>
      </c>
      <c r="L372" s="195">
        <f t="shared" si="47"/>
        <v>31</v>
      </c>
      <c r="M372" s="190"/>
      <c r="N372" s="196"/>
      <c r="O372" s="197"/>
      <c r="P372" s="198" t="str">
        <f t="shared" si="46"/>
        <v/>
      </c>
    </row>
    <row r="373" spans="2:16" x14ac:dyDescent="0.35">
      <c r="B373" s="190"/>
      <c r="C373" s="190"/>
      <c r="D373" s="190"/>
      <c r="E373" s="275"/>
      <c r="F373" s="192"/>
      <c r="G373" s="190"/>
      <c r="H373" s="193"/>
      <c r="I373" s="276"/>
      <c r="J373" s="194"/>
      <c r="K373" s="195">
        <f t="shared" si="47"/>
        <v>31</v>
      </c>
      <c r="L373" s="195">
        <f t="shared" si="47"/>
        <v>31</v>
      </c>
      <c r="M373" s="190"/>
      <c r="N373" s="196"/>
      <c r="O373" s="197"/>
      <c r="P373" s="198" t="str">
        <f t="shared" si="46"/>
        <v/>
      </c>
    </row>
    <row r="374" spans="2:16" x14ac:dyDescent="0.35">
      <c r="B374" s="190"/>
      <c r="C374" s="190"/>
      <c r="D374" s="190"/>
      <c r="E374" s="275"/>
      <c r="F374" s="192"/>
      <c r="G374" s="190"/>
      <c r="H374" s="193"/>
      <c r="I374" s="276"/>
      <c r="J374" s="194"/>
      <c r="K374" s="195">
        <f t="shared" si="47"/>
        <v>31</v>
      </c>
      <c r="L374" s="195">
        <f t="shared" si="47"/>
        <v>31</v>
      </c>
      <c r="M374" s="190"/>
      <c r="N374" s="196"/>
      <c r="O374" s="197"/>
      <c r="P374" s="198" t="str">
        <f t="shared" si="46"/>
        <v/>
      </c>
    </row>
    <row r="375" spans="2:16" x14ac:dyDescent="0.35">
      <c r="B375" s="190"/>
      <c r="C375" s="190"/>
      <c r="D375" s="190"/>
      <c r="E375" s="275"/>
      <c r="F375" s="192"/>
      <c r="G375" s="190"/>
      <c r="H375" s="193"/>
      <c r="I375" s="276"/>
      <c r="J375" s="194"/>
      <c r="K375" s="195">
        <f t="shared" si="47"/>
        <v>31</v>
      </c>
      <c r="L375" s="195">
        <f t="shared" si="47"/>
        <v>31</v>
      </c>
      <c r="M375" s="190"/>
      <c r="N375" s="196"/>
      <c r="O375" s="197"/>
      <c r="P375" s="198" t="str">
        <f t="shared" si="46"/>
        <v/>
      </c>
    </row>
    <row r="376" spans="2:16" x14ac:dyDescent="0.35">
      <c r="B376" s="190"/>
      <c r="C376" s="190"/>
      <c r="D376" s="190"/>
      <c r="E376" s="275"/>
      <c r="F376" s="192"/>
      <c r="G376" s="190"/>
      <c r="H376" s="193"/>
      <c r="I376" s="276"/>
      <c r="J376" s="194"/>
      <c r="K376" s="195">
        <f t="shared" si="47"/>
        <v>31</v>
      </c>
      <c r="L376" s="195">
        <f t="shared" si="47"/>
        <v>31</v>
      </c>
      <c r="M376" s="190"/>
      <c r="N376" s="196"/>
      <c r="O376" s="197"/>
      <c r="P376" s="198" t="str">
        <f t="shared" si="46"/>
        <v/>
      </c>
    </row>
    <row r="377" spans="2:16" x14ac:dyDescent="0.35">
      <c r="B377" s="190"/>
      <c r="C377" s="190"/>
      <c r="D377" s="190"/>
      <c r="E377" s="275"/>
      <c r="F377" s="192"/>
      <c r="G377" s="190"/>
      <c r="H377" s="193"/>
      <c r="I377" s="276"/>
      <c r="J377" s="194"/>
      <c r="K377" s="195">
        <f t="shared" si="47"/>
        <v>31</v>
      </c>
      <c r="L377" s="195">
        <f t="shared" si="47"/>
        <v>31</v>
      </c>
      <c r="M377" s="190"/>
      <c r="N377" s="196"/>
      <c r="O377" s="197"/>
      <c r="P377" s="198" t="str">
        <f t="shared" si="46"/>
        <v/>
      </c>
    </row>
    <row r="378" spans="2:16" x14ac:dyDescent="0.35">
      <c r="B378" s="190"/>
      <c r="C378" s="190"/>
      <c r="D378" s="190"/>
      <c r="E378" s="275"/>
      <c r="F378" s="192"/>
      <c r="G378" s="190"/>
      <c r="H378" s="193"/>
      <c r="I378" s="276"/>
      <c r="J378" s="194"/>
      <c r="K378" s="195">
        <f t="shared" si="47"/>
        <v>31</v>
      </c>
      <c r="L378" s="195">
        <f t="shared" si="47"/>
        <v>31</v>
      </c>
      <c r="M378" s="190"/>
      <c r="N378" s="196"/>
      <c r="O378" s="197"/>
      <c r="P378" s="198" t="str">
        <f t="shared" si="46"/>
        <v/>
      </c>
    </row>
    <row r="379" spans="2:16" x14ac:dyDescent="0.35">
      <c r="B379" s="190"/>
      <c r="C379" s="190"/>
      <c r="D379" s="190"/>
      <c r="E379" s="275"/>
      <c r="F379" s="192"/>
      <c r="G379" s="190"/>
      <c r="H379" s="193"/>
      <c r="I379" s="276"/>
      <c r="J379" s="194"/>
      <c r="K379" s="195">
        <f t="shared" si="47"/>
        <v>31</v>
      </c>
      <c r="L379" s="195">
        <f t="shared" si="47"/>
        <v>31</v>
      </c>
      <c r="M379" s="190"/>
      <c r="N379" s="196"/>
      <c r="O379" s="197"/>
      <c r="P379" s="198" t="str">
        <f t="shared" si="46"/>
        <v/>
      </c>
    </row>
    <row r="380" spans="2:16" x14ac:dyDescent="0.35">
      <c r="B380" s="190"/>
      <c r="C380" s="190"/>
      <c r="D380" s="190"/>
      <c r="E380" s="275"/>
      <c r="F380" s="192"/>
      <c r="G380" s="190"/>
      <c r="H380" s="193"/>
      <c r="I380" s="276"/>
      <c r="J380" s="194"/>
      <c r="K380" s="195">
        <f t="shared" si="47"/>
        <v>31</v>
      </c>
      <c r="L380" s="195">
        <f t="shared" si="47"/>
        <v>31</v>
      </c>
      <c r="M380" s="190"/>
      <c r="N380" s="196"/>
      <c r="O380" s="197"/>
      <c r="P380" s="198" t="str">
        <f t="shared" si="46"/>
        <v/>
      </c>
    </row>
    <row r="381" spans="2:16" x14ac:dyDescent="0.35">
      <c r="B381" s="190"/>
      <c r="C381" s="190"/>
      <c r="D381" s="190"/>
      <c r="E381" s="275"/>
      <c r="F381" s="192"/>
      <c r="G381" s="190"/>
      <c r="H381" s="193"/>
      <c r="I381" s="276"/>
      <c r="J381" s="194"/>
      <c r="K381" s="195">
        <f t="shared" si="47"/>
        <v>31</v>
      </c>
      <c r="L381" s="195">
        <f t="shared" si="47"/>
        <v>31</v>
      </c>
      <c r="M381" s="190"/>
      <c r="N381" s="196"/>
      <c r="O381" s="197"/>
      <c r="P381" s="198" t="str">
        <f t="shared" si="46"/>
        <v/>
      </c>
    </row>
    <row r="382" spans="2:16" x14ac:dyDescent="0.35">
      <c r="B382" s="190"/>
      <c r="C382" s="190"/>
      <c r="D382" s="190"/>
      <c r="E382" s="275"/>
      <c r="F382" s="192"/>
      <c r="G382" s="190"/>
      <c r="H382" s="193"/>
      <c r="I382" s="276"/>
      <c r="J382" s="194"/>
      <c r="K382" s="195">
        <f t="shared" si="47"/>
        <v>31</v>
      </c>
      <c r="L382" s="195">
        <f t="shared" si="47"/>
        <v>31</v>
      </c>
      <c r="M382" s="190"/>
      <c r="N382" s="196"/>
      <c r="O382" s="197"/>
      <c r="P382" s="198" t="str">
        <f t="shared" si="46"/>
        <v/>
      </c>
    </row>
    <row r="383" spans="2:16" x14ac:dyDescent="0.35">
      <c r="B383" s="190"/>
      <c r="C383" s="190"/>
      <c r="D383" s="190"/>
      <c r="E383" s="275"/>
      <c r="F383" s="192"/>
      <c r="G383" s="190"/>
      <c r="H383" s="193"/>
      <c r="I383" s="276"/>
      <c r="J383" s="194"/>
      <c r="K383" s="195">
        <f t="shared" si="47"/>
        <v>31</v>
      </c>
      <c r="L383" s="195">
        <f t="shared" si="47"/>
        <v>31</v>
      </c>
      <c r="M383" s="190"/>
      <c r="N383" s="196"/>
      <c r="O383" s="197"/>
      <c r="P383" s="198" t="str">
        <f t="shared" si="46"/>
        <v/>
      </c>
    </row>
    <row r="384" spans="2:16" x14ac:dyDescent="0.35">
      <c r="B384" s="190"/>
      <c r="C384" s="190"/>
      <c r="D384" s="190"/>
      <c r="E384" s="275"/>
      <c r="F384" s="192"/>
      <c r="G384" s="190"/>
      <c r="H384" s="193"/>
      <c r="I384" s="276"/>
      <c r="J384" s="194"/>
      <c r="K384" s="195">
        <f t="shared" si="47"/>
        <v>31</v>
      </c>
      <c r="L384" s="195">
        <f t="shared" si="47"/>
        <v>31</v>
      </c>
      <c r="M384" s="190"/>
      <c r="N384" s="196"/>
      <c r="O384" s="197"/>
      <c r="P384" s="198" t="str">
        <f t="shared" si="46"/>
        <v/>
      </c>
    </row>
    <row r="385" spans="2:16" x14ac:dyDescent="0.35">
      <c r="B385" s="190"/>
      <c r="C385" s="190"/>
      <c r="D385" s="190"/>
      <c r="E385" s="275"/>
      <c r="F385" s="192"/>
      <c r="G385" s="190"/>
      <c r="H385" s="193"/>
      <c r="I385" s="276"/>
      <c r="J385" s="194"/>
      <c r="K385" s="195">
        <f t="shared" si="47"/>
        <v>31</v>
      </c>
      <c r="L385" s="195">
        <f t="shared" si="47"/>
        <v>31</v>
      </c>
      <c r="M385" s="190"/>
      <c r="N385" s="196"/>
      <c r="O385" s="197"/>
      <c r="P385" s="198" t="str">
        <f t="shared" si="46"/>
        <v/>
      </c>
    </row>
    <row r="386" spans="2:16" x14ac:dyDescent="0.35">
      <c r="B386" s="190"/>
      <c r="C386" s="190"/>
      <c r="D386" s="190"/>
      <c r="E386" s="275"/>
      <c r="F386" s="192"/>
      <c r="G386" s="190"/>
      <c r="H386" s="193"/>
      <c r="I386" s="276"/>
      <c r="J386" s="194"/>
      <c r="K386" s="195">
        <f t="shared" si="47"/>
        <v>31</v>
      </c>
      <c r="L386" s="195">
        <f t="shared" si="47"/>
        <v>31</v>
      </c>
      <c r="M386" s="190"/>
      <c r="N386" s="196"/>
      <c r="O386" s="197"/>
      <c r="P386" s="198" t="str">
        <f t="shared" si="46"/>
        <v/>
      </c>
    </row>
    <row r="387" spans="2:16" x14ac:dyDescent="0.35">
      <c r="B387" s="190"/>
      <c r="C387" s="190"/>
      <c r="D387" s="190"/>
      <c r="E387" s="275"/>
      <c r="F387" s="192"/>
      <c r="G387" s="190"/>
      <c r="H387" s="193"/>
      <c r="I387" s="276"/>
      <c r="J387" s="194"/>
      <c r="K387" s="195">
        <f t="shared" si="47"/>
        <v>31</v>
      </c>
      <c r="L387" s="195">
        <f t="shared" si="47"/>
        <v>31</v>
      </c>
      <c r="M387" s="190"/>
      <c r="N387" s="196"/>
      <c r="O387" s="197"/>
      <c r="P387" s="198" t="str">
        <f t="shared" si="46"/>
        <v/>
      </c>
    </row>
    <row r="388" spans="2:16" x14ac:dyDescent="0.35">
      <c r="B388" s="190"/>
      <c r="C388" s="190"/>
      <c r="D388" s="190"/>
      <c r="E388" s="275"/>
      <c r="F388" s="192"/>
      <c r="G388" s="190"/>
      <c r="H388" s="193"/>
      <c r="I388" s="276"/>
      <c r="J388" s="194"/>
      <c r="K388" s="195">
        <f t="shared" si="47"/>
        <v>31</v>
      </c>
      <c r="L388" s="195">
        <f t="shared" si="47"/>
        <v>31</v>
      </c>
      <c r="M388" s="190"/>
      <c r="N388" s="196"/>
      <c r="O388" s="197"/>
      <c r="P388" s="198" t="str">
        <f t="shared" si="46"/>
        <v/>
      </c>
    </row>
    <row r="389" spans="2:16" x14ac:dyDescent="0.35">
      <c r="B389" s="190"/>
      <c r="C389" s="190"/>
      <c r="D389" s="190"/>
      <c r="E389" s="275"/>
      <c r="F389" s="192"/>
      <c r="G389" s="190"/>
      <c r="H389" s="193"/>
      <c r="I389" s="276"/>
      <c r="J389" s="194"/>
      <c r="K389" s="195">
        <f t="shared" si="47"/>
        <v>31</v>
      </c>
      <c r="L389" s="195">
        <f t="shared" si="47"/>
        <v>31</v>
      </c>
      <c r="M389" s="190"/>
      <c r="N389" s="196"/>
      <c r="O389" s="197"/>
      <c r="P389" s="198" t="str">
        <f t="shared" si="46"/>
        <v/>
      </c>
    </row>
    <row r="390" spans="2:16" x14ac:dyDescent="0.35">
      <c r="B390" s="190"/>
      <c r="C390" s="190"/>
      <c r="D390" s="190"/>
      <c r="E390" s="275"/>
      <c r="F390" s="192"/>
      <c r="G390" s="190"/>
      <c r="H390" s="193"/>
      <c r="I390" s="276"/>
      <c r="J390" s="194"/>
      <c r="K390" s="195">
        <f t="shared" si="47"/>
        <v>31</v>
      </c>
      <c r="L390" s="195">
        <f t="shared" si="47"/>
        <v>31</v>
      </c>
      <c r="M390" s="190"/>
      <c r="N390" s="196"/>
      <c r="O390" s="197"/>
      <c r="P390" s="198" t="str">
        <f t="shared" si="46"/>
        <v/>
      </c>
    </row>
    <row r="391" spans="2:16" x14ac:dyDescent="0.35">
      <c r="B391" s="190"/>
      <c r="C391" s="190"/>
      <c r="D391" s="190"/>
      <c r="E391" s="275"/>
      <c r="F391" s="192"/>
      <c r="G391" s="190"/>
      <c r="H391" s="193"/>
      <c r="I391" s="276"/>
      <c r="J391" s="194"/>
      <c r="K391" s="195">
        <f t="shared" si="47"/>
        <v>31</v>
      </c>
      <c r="L391" s="195">
        <f t="shared" si="47"/>
        <v>31</v>
      </c>
      <c r="M391" s="190"/>
      <c r="N391" s="196"/>
      <c r="O391" s="197"/>
      <c r="P391" s="198" t="str">
        <f t="shared" si="46"/>
        <v/>
      </c>
    </row>
    <row r="392" spans="2:16" x14ac:dyDescent="0.35">
      <c r="B392" s="190"/>
      <c r="C392" s="190"/>
      <c r="D392" s="190"/>
      <c r="E392" s="275"/>
      <c r="F392" s="192"/>
      <c r="G392" s="190"/>
      <c r="H392" s="193"/>
      <c r="I392" s="276"/>
      <c r="J392" s="194"/>
      <c r="K392" s="195">
        <f t="shared" si="47"/>
        <v>31</v>
      </c>
      <c r="L392" s="195">
        <f t="shared" si="47"/>
        <v>31</v>
      </c>
      <c r="M392" s="190"/>
      <c r="N392" s="196"/>
      <c r="O392" s="197"/>
      <c r="P392" s="198" t="str">
        <f t="shared" ref="P392:P455" si="48">IF(H392="","",IF(($C$5-H392)/365&gt;1.5,"Renewed Lease","New Lease"))</f>
        <v/>
      </c>
    </row>
    <row r="393" spans="2:16" x14ac:dyDescent="0.35">
      <c r="B393" s="190"/>
      <c r="C393" s="190"/>
      <c r="D393" s="190"/>
      <c r="E393" s="275"/>
      <c r="F393" s="192"/>
      <c r="G393" s="190"/>
      <c r="H393" s="193"/>
      <c r="I393" s="276"/>
      <c r="J393" s="194"/>
      <c r="K393" s="195">
        <f t="shared" si="47"/>
        <v>31</v>
      </c>
      <c r="L393" s="195">
        <f t="shared" si="47"/>
        <v>31</v>
      </c>
      <c r="M393" s="190"/>
      <c r="N393" s="196"/>
      <c r="O393" s="197"/>
      <c r="P393" s="198" t="str">
        <f t="shared" si="48"/>
        <v/>
      </c>
    </row>
    <row r="394" spans="2:16" x14ac:dyDescent="0.35">
      <c r="B394" s="190"/>
      <c r="C394" s="190"/>
      <c r="D394" s="190"/>
      <c r="E394" s="275"/>
      <c r="F394" s="192"/>
      <c r="G394" s="190"/>
      <c r="H394" s="193"/>
      <c r="I394" s="276"/>
      <c r="J394" s="194"/>
      <c r="K394" s="195">
        <f t="shared" si="47"/>
        <v>31</v>
      </c>
      <c r="L394" s="195">
        <f t="shared" si="47"/>
        <v>31</v>
      </c>
      <c r="M394" s="190"/>
      <c r="N394" s="196"/>
      <c r="O394" s="197"/>
      <c r="P394" s="198" t="str">
        <f t="shared" si="48"/>
        <v/>
      </c>
    </row>
    <row r="395" spans="2:16" x14ac:dyDescent="0.35">
      <c r="B395" s="190"/>
      <c r="C395" s="190"/>
      <c r="D395" s="190"/>
      <c r="E395" s="275"/>
      <c r="F395" s="192"/>
      <c r="G395" s="190"/>
      <c r="H395" s="193"/>
      <c r="I395" s="276"/>
      <c r="J395" s="194"/>
      <c r="K395" s="195">
        <f t="shared" si="47"/>
        <v>31</v>
      </c>
      <c r="L395" s="195">
        <f t="shared" si="47"/>
        <v>31</v>
      </c>
      <c r="M395" s="190"/>
      <c r="N395" s="196"/>
      <c r="O395" s="197"/>
      <c r="P395" s="198" t="str">
        <f t="shared" si="48"/>
        <v/>
      </c>
    </row>
    <row r="396" spans="2:16" x14ac:dyDescent="0.35">
      <c r="B396" s="190"/>
      <c r="C396" s="190"/>
      <c r="D396" s="190"/>
      <c r="E396" s="275"/>
      <c r="F396" s="192"/>
      <c r="G396" s="190"/>
      <c r="H396" s="193"/>
      <c r="I396" s="276"/>
      <c r="J396" s="194"/>
      <c r="K396" s="195">
        <f t="shared" si="47"/>
        <v>31</v>
      </c>
      <c r="L396" s="195">
        <f t="shared" si="47"/>
        <v>31</v>
      </c>
      <c r="M396" s="190"/>
      <c r="N396" s="196"/>
      <c r="O396" s="197"/>
      <c r="P396" s="198" t="str">
        <f t="shared" si="48"/>
        <v/>
      </c>
    </row>
    <row r="397" spans="2:16" x14ac:dyDescent="0.35">
      <c r="B397" s="190"/>
      <c r="C397" s="190"/>
      <c r="D397" s="190"/>
      <c r="E397" s="275"/>
      <c r="F397" s="192"/>
      <c r="G397" s="190"/>
      <c r="H397" s="193"/>
      <c r="I397" s="276"/>
      <c r="J397" s="194"/>
      <c r="K397" s="195">
        <f t="shared" si="47"/>
        <v>31</v>
      </c>
      <c r="L397" s="195">
        <f t="shared" si="47"/>
        <v>31</v>
      </c>
      <c r="M397" s="190"/>
      <c r="N397" s="196"/>
      <c r="O397" s="197"/>
      <c r="P397" s="198" t="str">
        <f t="shared" si="48"/>
        <v/>
      </c>
    </row>
    <row r="398" spans="2:16" x14ac:dyDescent="0.35">
      <c r="B398" s="190"/>
      <c r="C398" s="190"/>
      <c r="D398" s="190"/>
      <c r="E398" s="275"/>
      <c r="F398" s="192"/>
      <c r="G398" s="190"/>
      <c r="H398" s="193"/>
      <c r="I398" s="276"/>
      <c r="J398" s="194"/>
      <c r="K398" s="195">
        <f t="shared" si="47"/>
        <v>31</v>
      </c>
      <c r="L398" s="195">
        <f t="shared" si="47"/>
        <v>31</v>
      </c>
      <c r="M398" s="190"/>
      <c r="N398" s="196"/>
      <c r="O398" s="197"/>
      <c r="P398" s="198" t="str">
        <f t="shared" si="48"/>
        <v/>
      </c>
    </row>
    <row r="399" spans="2:16" x14ac:dyDescent="0.35">
      <c r="B399" s="190"/>
      <c r="C399" s="190"/>
      <c r="D399" s="190"/>
      <c r="E399" s="275"/>
      <c r="F399" s="192"/>
      <c r="G399" s="190"/>
      <c r="H399" s="193"/>
      <c r="I399" s="276"/>
      <c r="J399" s="194"/>
      <c r="K399" s="195">
        <f t="shared" si="47"/>
        <v>31</v>
      </c>
      <c r="L399" s="195">
        <f t="shared" si="47"/>
        <v>31</v>
      </c>
      <c r="M399" s="190"/>
      <c r="N399" s="196"/>
      <c r="O399" s="197"/>
      <c r="P399" s="198" t="str">
        <f t="shared" si="48"/>
        <v/>
      </c>
    </row>
    <row r="400" spans="2:16" x14ac:dyDescent="0.35">
      <c r="B400" s="190"/>
      <c r="C400" s="190"/>
      <c r="D400" s="190"/>
      <c r="E400" s="275"/>
      <c r="F400" s="192"/>
      <c r="G400" s="190"/>
      <c r="H400" s="193"/>
      <c r="I400" s="276"/>
      <c r="J400" s="194"/>
      <c r="K400" s="195">
        <f t="shared" si="47"/>
        <v>31</v>
      </c>
      <c r="L400" s="195">
        <f t="shared" si="47"/>
        <v>31</v>
      </c>
      <c r="M400" s="190"/>
      <c r="N400" s="196"/>
      <c r="O400" s="197"/>
      <c r="P400" s="198" t="str">
        <f t="shared" si="48"/>
        <v/>
      </c>
    </row>
    <row r="401" spans="2:16" x14ac:dyDescent="0.35">
      <c r="B401" s="190"/>
      <c r="C401" s="190"/>
      <c r="D401" s="190"/>
      <c r="E401" s="275"/>
      <c r="F401" s="192"/>
      <c r="G401" s="190"/>
      <c r="H401" s="193"/>
      <c r="I401" s="276"/>
      <c r="J401" s="194"/>
      <c r="K401" s="195">
        <f t="shared" ref="K401:L464" si="49">EOMONTH(I401,0)</f>
        <v>31</v>
      </c>
      <c r="L401" s="195">
        <f t="shared" si="49"/>
        <v>31</v>
      </c>
      <c r="M401" s="190"/>
      <c r="N401" s="196"/>
      <c r="O401" s="197"/>
      <c r="P401" s="198" t="str">
        <f t="shared" si="48"/>
        <v/>
      </c>
    </row>
    <row r="402" spans="2:16" x14ac:dyDescent="0.35">
      <c r="B402" s="190"/>
      <c r="C402" s="190"/>
      <c r="D402" s="190"/>
      <c r="E402" s="275"/>
      <c r="F402" s="192"/>
      <c r="G402" s="190"/>
      <c r="H402" s="193"/>
      <c r="I402" s="276"/>
      <c r="J402" s="194"/>
      <c r="K402" s="195">
        <f t="shared" si="49"/>
        <v>31</v>
      </c>
      <c r="L402" s="195">
        <f t="shared" si="49"/>
        <v>31</v>
      </c>
      <c r="M402" s="190"/>
      <c r="N402" s="196"/>
      <c r="O402" s="197"/>
      <c r="P402" s="198" t="str">
        <f t="shared" si="48"/>
        <v/>
      </c>
    </row>
    <row r="403" spans="2:16" x14ac:dyDescent="0.35">
      <c r="B403" s="190"/>
      <c r="C403" s="190"/>
      <c r="D403" s="190"/>
      <c r="E403" s="275"/>
      <c r="F403" s="192"/>
      <c r="G403" s="190"/>
      <c r="H403" s="193"/>
      <c r="I403" s="276"/>
      <c r="J403" s="194"/>
      <c r="K403" s="195">
        <f t="shared" si="49"/>
        <v>31</v>
      </c>
      <c r="L403" s="195">
        <f t="shared" si="49"/>
        <v>31</v>
      </c>
      <c r="M403" s="190"/>
      <c r="N403" s="196"/>
      <c r="O403" s="197"/>
      <c r="P403" s="198" t="str">
        <f t="shared" si="48"/>
        <v/>
      </c>
    </row>
    <row r="404" spans="2:16" x14ac:dyDescent="0.35">
      <c r="B404" s="190"/>
      <c r="C404" s="190"/>
      <c r="D404" s="190"/>
      <c r="E404" s="275"/>
      <c r="F404" s="192"/>
      <c r="G404" s="190"/>
      <c r="H404" s="193"/>
      <c r="I404" s="276"/>
      <c r="J404" s="194"/>
      <c r="K404" s="195">
        <f t="shared" si="49"/>
        <v>31</v>
      </c>
      <c r="L404" s="195">
        <f t="shared" si="49"/>
        <v>31</v>
      </c>
      <c r="M404" s="190"/>
      <c r="N404" s="196"/>
      <c r="O404" s="197"/>
      <c r="P404" s="198" t="str">
        <f t="shared" si="48"/>
        <v/>
      </c>
    </row>
    <row r="405" spans="2:16" x14ac:dyDescent="0.35">
      <c r="B405" s="190"/>
      <c r="C405" s="190"/>
      <c r="D405" s="190"/>
      <c r="E405" s="275"/>
      <c r="F405" s="192"/>
      <c r="G405" s="190"/>
      <c r="H405" s="193"/>
      <c r="I405" s="276"/>
      <c r="J405" s="194"/>
      <c r="K405" s="195">
        <f t="shared" si="49"/>
        <v>31</v>
      </c>
      <c r="L405" s="195">
        <f t="shared" si="49"/>
        <v>31</v>
      </c>
      <c r="M405" s="190"/>
      <c r="N405" s="196"/>
      <c r="O405" s="197"/>
      <c r="P405" s="198" t="str">
        <f t="shared" si="48"/>
        <v/>
      </c>
    </row>
    <row r="406" spans="2:16" x14ac:dyDescent="0.35">
      <c r="B406" s="190"/>
      <c r="C406" s="190"/>
      <c r="D406" s="190"/>
      <c r="E406" s="275"/>
      <c r="F406" s="192"/>
      <c r="G406" s="190"/>
      <c r="H406" s="193"/>
      <c r="I406" s="276"/>
      <c r="J406" s="194"/>
      <c r="K406" s="195">
        <f t="shared" si="49"/>
        <v>31</v>
      </c>
      <c r="L406" s="195">
        <f t="shared" si="49"/>
        <v>31</v>
      </c>
      <c r="M406" s="190"/>
      <c r="N406" s="196"/>
      <c r="O406" s="197"/>
      <c r="P406" s="198" t="str">
        <f t="shared" si="48"/>
        <v/>
      </c>
    </row>
    <row r="407" spans="2:16" x14ac:dyDescent="0.35">
      <c r="B407" s="190"/>
      <c r="C407" s="190"/>
      <c r="D407" s="190"/>
      <c r="E407" s="275"/>
      <c r="F407" s="192"/>
      <c r="G407" s="190"/>
      <c r="H407" s="193"/>
      <c r="I407" s="276"/>
      <c r="J407" s="194"/>
      <c r="K407" s="195">
        <f t="shared" si="49"/>
        <v>31</v>
      </c>
      <c r="L407" s="195">
        <f t="shared" si="49"/>
        <v>31</v>
      </c>
      <c r="M407" s="190"/>
      <c r="N407" s="196"/>
      <c r="O407" s="197"/>
      <c r="P407" s="198" t="str">
        <f t="shared" si="48"/>
        <v/>
      </c>
    </row>
    <row r="408" spans="2:16" x14ac:dyDescent="0.35">
      <c r="B408" s="190"/>
      <c r="C408" s="190"/>
      <c r="D408" s="190"/>
      <c r="E408" s="275"/>
      <c r="F408" s="192"/>
      <c r="G408" s="190"/>
      <c r="H408" s="193"/>
      <c r="I408" s="276"/>
      <c r="J408" s="194"/>
      <c r="K408" s="195">
        <f t="shared" si="49"/>
        <v>31</v>
      </c>
      <c r="L408" s="195">
        <f t="shared" si="49"/>
        <v>31</v>
      </c>
      <c r="M408" s="190"/>
      <c r="N408" s="196"/>
      <c r="O408" s="197"/>
      <c r="P408" s="198" t="str">
        <f t="shared" si="48"/>
        <v/>
      </c>
    </row>
    <row r="409" spans="2:16" x14ac:dyDescent="0.35">
      <c r="B409" s="190"/>
      <c r="C409" s="190"/>
      <c r="D409" s="190"/>
      <c r="E409" s="275"/>
      <c r="F409" s="192"/>
      <c r="G409" s="190"/>
      <c r="H409" s="193"/>
      <c r="I409" s="276"/>
      <c r="J409" s="194"/>
      <c r="K409" s="195">
        <f t="shared" si="49"/>
        <v>31</v>
      </c>
      <c r="L409" s="195">
        <f t="shared" si="49"/>
        <v>31</v>
      </c>
      <c r="M409" s="190"/>
      <c r="N409" s="196"/>
      <c r="O409" s="197"/>
      <c r="P409" s="198" t="str">
        <f t="shared" si="48"/>
        <v/>
      </c>
    </row>
    <row r="410" spans="2:16" x14ac:dyDescent="0.35">
      <c r="B410" s="190"/>
      <c r="C410" s="190"/>
      <c r="D410" s="190"/>
      <c r="E410" s="275"/>
      <c r="F410" s="192"/>
      <c r="G410" s="190"/>
      <c r="H410" s="193"/>
      <c r="I410" s="276"/>
      <c r="J410" s="194"/>
      <c r="K410" s="195">
        <f t="shared" si="49"/>
        <v>31</v>
      </c>
      <c r="L410" s="195">
        <f t="shared" si="49"/>
        <v>31</v>
      </c>
      <c r="M410" s="190"/>
      <c r="N410" s="196"/>
      <c r="O410" s="197"/>
      <c r="P410" s="198" t="str">
        <f t="shared" si="48"/>
        <v/>
      </c>
    </row>
    <row r="411" spans="2:16" x14ac:dyDescent="0.35">
      <c r="B411" s="190"/>
      <c r="C411" s="190"/>
      <c r="D411" s="190"/>
      <c r="E411" s="275"/>
      <c r="F411" s="192"/>
      <c r="G411" s="190"/>
      <c r="H411" s="193"/>
      <c r="I411" s="276"/>
      <c r="J411" s="194"/>
      <c r="K411" s="195">
        <f t="shared" si="49"/>
        <v>31</v>
      </c>
      <c r="L411" s="195">
        <f t="shared" si="49"/>
        <v>31</v>
      </c>
      <c r="M411" s="190"/>
      <c r="N411" s="196"/>
      <c r="O411" s="197"/>
      <c r="P411" s="198" t="str">
        <f t="shared" si="48"/>
        <v/>
      </c>
    </row>
    <row r="412" spans="2:16" x14ac:dyDescent="0.35">
      <c r="B412" s="190"/>
      <c r="C412" s="190"/>
      <c r="D412" s="190"/>
      <c r="E412" s="275"/>
      <c r="F412" s="192"/>
      <c r="G412" s="190"/>
      <c r="H412" s="193"/>
      <c r="I412" s="276"/>
      <c r="J412" s="194"/>
      <c r="K412" s="195">
        <f t="shared" si="49"/>
        <v>31</v>
      </c>
      <c r="L412" s="195">
        <f t="shared" si="49"/>
        <v>31</v>
      </c>
      <c r="M412" s="190"/>
      <c r="N412" s="196"/>
      <c r="O412" s="197"/>
      <c r="P412" s="198" t="str">
        <f t="shared" si="48"/>
        <v/>
      </c>
    </row>
    <row r="413" spans="2:16" x14ac:dyDescent="0.35">
      <c r="B413" s="190"/>
      <c r="C413" s="190"/>
      <c r="D413" s="190"/>
      <c r="E413" s="275"/>
      <c r="F413" s="192"/>
      <c r="G413" s="190"/>
      <c r="H413" s="193"/>
      <c r="I413" s="276"/>
      <c r="J413" s="194"/>
      <c r="K413" s="195">
        <f t="shared" si="49"/>
        <v>31</v>
      </c>
      <c r="L413" s="195">
        <f t="shared" si="49"/>
        <v>31</v>
      </c>
      <c r="M413" s="190"/>
      <c r="N413" s="196"/>
      <c r="O413" s="197"/>
      <c r="P413" s="198" t="str">
        <f t="shared" si="48"/>
        <v/>
      </c>
    </row>
    <row r="414" spans="2:16" x14ac:dyDescent="0.35">
      <c r="B414" s="190"/>
      <c r="C414" s="190"/>
      <c r="D414" s="190"/>
      <c r="E414" s="275"/>
      <c r="F414" s="192"/>
      <c r="G414" s="190"/>
      <c r="H414" s="193"/>
      <c r="I414" s="276"/>
      <c r="J414" s="194"/>
      <c r="K414" s="195">
        <f t="shared" si="49"/>
        <v>31</v>
      </c>
      <c r="L414" s="195">
        <f t="shared" si="49"/>
        <v>31</v>
      </c>
      <c r="M414" s="190"/>
      <c r="N414" s="196"/>
      <c r="O414" s="197"/>
      <c r="P414" s="198" t="str">
        <f t="shared" si="48"/>
        <v/>
      </c>
    </row>
    <row r="415" spans="2:16" x14ac:dyDescent="0.35">
      <c r="B415" s="190"/>
      <c r="C415" s="190"/>
      <c r="D415" s="190"/>
      <c r="E415" s="275"/>
      <c r="F415" s="192"/>
      <c r="G415" s="190"/>
      <c r="H415" s="193"/>
      <c r="I415" s="276"/>
      <c r="J415" s="194"/>
      <c r="K415" s="195">
        <f t="shared" si="49"/>
        <v>31</v>
      </c>
      <c r="L415" s="195">
        <f t="shared" si="49"/>
        <v>31</v>
      </c>
      <c r="M415" s="190"/>
      <c r="N415" s="196"/>
      <c r="O415" s="197"/>
      <c r="P415" s="198" t="str">
        <f t="shared" si="48"/>
        <v/>
      </c>
    </row>
    <row r="416" spans="2:16" x14ac:dyDescent="0.35">
      <c r="B416" s="190"/>
      <c r="C416" s="190"/>
      <c r="D416" s="190"/>
      <c r="E416" s="275"/>
      <c r="F416" s="192"/>
      <c r="G416" s="190"/>
      <c r="H416" s="193"/>
      <c r="I416" s="276"/>
      <c r="J416" s="194"/>
      <c r="K416" s="195">
        <f t="shared" si="49"/>
        <v>31</v>
      </c>
      <c r="L416" s="195">
        <f t="shared" si="49"/>
        <v>31</v>
      </c>
      <c r="M416" s="190"/>
      <c r="N416" s="196"/>
      <c r="O416" s="197"/>
      <c r="P416" s="198" t="str">
        <f t="shared" si="48"/>
        <v/>
      </c>
    </row>
    <row r="417" spans="2:16" x14ac:dyDescent="0.35">
      <c r="B417" s="190"/>
      <c r="C417" s="190"/>
      <c r="D417" s="190"/>
      <c r="E417" s="275"/>
      <c r="F417" s="192"/>
      <c r="G417" s="190"/>
      <c r="H417" s="193"/>
      <c r="I417" s="276"/>
      <c r="J417" s="194"/>
      <c r="K417" s="195">
        <f t="shared" si="49"/>
        <v>31</v>
      </c>
      <c r="L417" s="195">
        <f t="shared" si="49"/>
        <v>31</v>
      </c>
      <c r="M417" s="190"/>
      <c r="N417" s="196"/>
      <c r="O417" s="197"/>
      <c r="P417" s="198" t="str">
        <f t="shared" si="48"/>
        <v/>
      </c>
    </row>
    <row r="418" spans="2:16" x14ac:dyDescent="0.35">
      <c r="B418" s="190"/>
      <c r="C418" s="190"/>
      <c r="D418" s="190"/>
      <c r="E418" s="275"/>
      <c r="F418" s="192"/>
      <c r="G418" s="190"/>
      <c r="H418" s="193"/>
      <c r="I418" s="276"/>
      <c r="J418" s="194"/>
      <c r="K418" s="195">
        <f t="shared" si="49"/>
        <v>31</v>
      </c>
      <c r="L418" s="195">
        <f t="shared" si="49"/>
        <v>31</v>
      </c>
      <c r="M418" s="190"/>
      <c r="N418" s="196"/>
      <c r="O418" s="197"/>
      <c r="P418" s="198" t="str">
        <f t="shared" si="48"/>
        <v/>
      </c>
    </row>
    <row r="419" spans="2:16" x14ac:dyDescent="0.35">
      <c r="B419" s="190"/>
      <c r="C419" s="190"/>
      <c r="D419" s="190"/>
      <c r="E419" s="275"/>
      <c r="F419" s="192"/>
      <c r="G419" s="190"/>
      <c r="H419" s="193"/>
      <c r="I419" s="276"/>
      <c r="J419" s="194"/>
      <c r="K419" s="195">
        <f t="shared" si="49"/>
        <v>31</v>
      </c>
      <c r="L419" s="195">
        <f t="shared" si="49"/>
        <v>31</v>
      </c>
      <c r="M419" s="190"/>
      <c r="N419" s="196"/>
      <c r="O419" s="197"/>
      <c r="P419" s="198" t="str">
        <f t="shared" si="48"/>
        <v/>
      </c>
    </row>
    <row r="420" spans="2:16" x14ac:dyDescent="0.35">
      <c r="B420" s="190"/>
      <c r="C420" s="190"/>
      <c r="D420" s="190"/>
      <c r="E420" s="275"/>
      <c r="F420" s="192"/>
      <c r="G420" s="190"/>
      <c r="H420" s="193"/>
      <c r="I420" s="276"/>
      <c r="J420" s="194"/>
      <c r="K420" s="195">
        <f t="shared" si="49"/>
        <v>31</v>
      </c>
      <c r="L420" s="195">
        <f t="shared" si="49"/>
        <v>31</v>
      </c>
      <c r="M420" s="190"/>
      <c r="N420" s="196"/>
      <c r="O420" s="197"/>
      <c r="P420" s="198" t="str">
        <f t="shared" si="48"/>
        <v/>
      </c>
    </row>
    <row r="421" spans="2:16" x14ac:dyDescent="0.35">
      <c r="B421" s="190"/>
      <c r="C421" s="190"/>
      <c r="D421" s="190"/>
      <c r="E421" s="275"/>
      <c r="F421" s="192"/>
      <c r="G421" s="190"/>
      <c r="H421" s="193"/>
      <c r="I421" s="276"/>
      <c r="J421" s="194"/>
      <c r="K421" s="195">
        <f t="shared" si="49"/>
        <v>31</v>
      </c>
      <c r="L421" s="195">
        <f t="shared" si="49"/>
        <v>31</v>
      </c>
      <c r="M421" s="190"/>
      <c r="N421" s="196"/>
      <c r="O421" s="197"/>
      <c r="P421" s="198" t="str">
        <f t="shared" si="48"/>
        <v/>
      </c>
    </row>
    <row r="422" spans="2:16" x14ac:dyDescent="0.35">
      <c r="B422" s="190"/>
      <c r="C422" s="190"/>
      <c r="D422" s="190"/>
      <c r="E422" s="275"/>
      <c r="F422" s="192"/>
      <c r="G422" s="190"/>
      <c r="H422" s="193"/>
      <c r="I422" s="276"/>
      <c r="J422" s="194"/>
      <c r="K422" s="195">
        <f t="shared" si="49"/>
        <v>31</v>
      </c>
      <c r="L422" s="195">
        <f t="shared" si="49"/>
        <v>31</v>
      </c>
      <c r="M422" s="190"/>
      <c r="N422" s="196"/>
      <c r="O422" s="197"/>
      <c r="P422" s="198" t="str">
        <f t="shared" si="48"/>
        <v/>
      </c>
    </row>
    <row r="423" spans="2:16" x14ac:dyDescent="0.35">
      <c r="B423" s="190"/>
      <c r="C423" s="190"/>
      <c r="D423" s="190"/>
      <c r="E423" s="275"/>
      <c r="F423" s="192"/>
      <c r="G423" s="190"/>
      <c r="H423" s="193"/>
      <c r="I423" s="276"/>
      <c r="J423" s="194"/>
      <c r="K423" s="195">
        <f t="shared" si="49"/>
        <v>31</v>
      </c>
      <c r="L423" s="195">
        <f t="shared" si="49"/>
        <v>31</v>
      </c>
      <c r="M423" s="190"/>
      <c r="N423" s="196"/>
      <c r="O423" s="197"/>
      <c r="P423" s="198" t="str">
        <f t="shared" si="48"/>
        <v/>
      </c>
    </row>
    <row r="424" spans="2:16" x14ac:dyDescent="0.35">
      <c r="B424" s="190"/>
      <c r="C424" s="190"/>
      <c r="D424" s="190"/>
      <c r="E424" s="275"/>
      <c r="F424" s="192"/>
      <c r="G424" s="190"/>
      <c r="H424" s="193"/>
      <c r="I424" s="276"/>
      <c r="J424" s="194"/>
      <c r="K424" s="195">
        <f t="shared" si="49"/>
        <v>31</v>
      </c>
      <c r="L424" s="195">
        <f t="shared" si="49"/>
        <v>31</v>
      </c>
      <c r="M424" s="190"/>
      <c r="N424" s="196"/>
      <c r="O424" s="197"/>
      <c r="P424" s="198" t="str">
        <f t="shared" si="48"/>
        <v/>
      </c>
    </row>
    <row r="425" spans="2:16" x14ac:dyDescent="0.35">
      <c r="B425" s="190"/>
      <c r="C425" s="190"/>
      <c r="D425" s="190"/>
      <c r="E425" s="275"/>
      <c r="F425" s="192"/>
      <c r="G425" s="190"/>
      <c r="H425" s="193"/>
      <c r="I425" s="276"/>
      <c r="J425" s="194"/>
      <c r="K425" s="195">
        <f t="shared" si="49"/>
        <v>31</v>
      </c>
      <c r="L425" s="195">
        <f t="shared" si="49"/>
        <v>31</v>
      </c>
      <c r="M425" s="190"/>
      <c r="N425" s="196"/>
      <c r="O425" s="197"/>
      <c r="P425" s="198" t="str">
        <f t="shared" si="48"/>
        <v/>
      </c>
    </row>
    <row r="426" spans="2:16" x14ac:dyDescent="0.35">
      <c r="B426" s="190"/>
      <c r="C426" s="190"/>
      <c r="D426" s="190"/>
      <c r="E426" s="275"/>
      <c r="F426" s="192"/>
      <c r="G426" s="190"/>
      <c r="H426" s="193"/>
      <c r="I426" s="276"/>
      <c r="J426" s="194"/>
      <c r="K426" s="195">
        <f t="shared" si="49"/>
        <v>31</v>
      </c>
      <c r="L426" s="195">
        <f t="shared" si="49"/>
        <v>31</v>
      </c>
      <c r="M426" s="190"/>
      <c r="N426" s="196"/>
      <c r="O426" s="197"/>
      <c r="P426" s="198" t="str">
        <f t="shared" si="48"/>
        <v/>
      </c>
    </row>
    <row r="427" spans="2:16" x14ac:dyDescent="0.35">
      <c r="B427" s="190"/>
      <c r="C427" s="190"/>
      <c r="D427" s="190"/>
      <c r="E427" s="275"/>
      <c r="F427" s="192"/>
      <c r="G427" s="190"/>
      <c r="H427" s="193"/>
      <c r="I427" s="276"/>
      <c r="J427" s="194"/>
      <c r="K427" s="195">
        <f t="shared" si="49"/>
        <v>31</v>
      </c>
      <c r="L427" s="195">
        <f t="shared" si="49"/>
        <v>31</v>
      </c>
      <c r="M427" s="190"/>
      <c r="N427" s="196"/>
      <c r="O427" s="197"/>
      <c r="P427" s="198" t="str">
        <f t="shared" si="48"/>
        <v/>
      </c>
    </row>
    <row r="428" spans="2:16" x14ac:dyDescent="0.35">
      <c r="B428" s="190"/>
      <c r="C428" s="190"/>
      <c r="D428" s="190"/>
      <c r="E428" s="275"/>
      <c r="F428" s="192"/>
      <c r="G428" s="190"/>
      <c r="H428" s="193"/>
      <c r="I428" s="276"/>
      <c r="J428" s="194"/>
      <c r="K428" s="195">
        <f t="shared" si="49"/>
        <v>31</v>
      </c>
      <c r="L428" s="195">
        <f t="shared" si="49"/>
        <v>31</v>
      </c>
      <c r="M428" s="190"/>
      <c r="N428" s="196"/>
      <c r="O428" s="197"/>
      <c r="P428" s="198" t="str">
        <f t="shared" si="48"/>
        <v/>
      </c>
    </row>
    <row r="429" spans="2:16" x14ac:dyDescent="0.35">
      <c r="B429" s="190"/>
      <c r="C429" s="190"/>
      <c r="D429" s="190"/>
      <c r="E429" s="275"/>
      <c r="F429" s="192"/>
      <c r="G429" s="190"/>
      <c r="H429" s="193"/>
      <c r="I429" s="276"/>
      <c r="J429" s="194"/>
      <c r="K429" s="195">
        <f t="shared" si="49"/>
        <v>31</v>
      </c>
      <c r="L429" s="195">
        <f t="shared" si="49"/>
        <v>31</v>
      </c>
      <c r="M429" s="190"/>
      <c r="N429" s="196"/>
      <c r="O429" s="197"/>
      <c r="P429" s="198" t="str">
        <f t="shared" si="48"/>
        <v/>
      </c>
    </row>
    <row r="430" spans="2:16" x14ac:dyDescent="0.35">
      <c r="B430" s="190"/>
      <c r="C430" s="190"/>
      <c r="D430" s="190"/>
      <c r="E430" s="275"/>
      <c r="F430" s="192"/>
      <c r="G430" s="190"/>
      <c r="H430" s="193"/>
      <c r="I430" s="276"/>
      <c r="J430" s="194"/>
      <c r="K430" s="195">
        <f t="shared" si="49"/>
        <v>31</v>
      </c>
      <c r="L430" s="195">
        <f t="shared" si="49"/>
        <v>31</v>
      </c>
      <c r="M430" s="190"/>
      <c r="N430" s="196"/>
      <c r="O430" s="197"/>
      <c r="P430" s="198" t="str">
        <f t="shared" si="48"/>
        <v/>
      </c>
    </row>
    <row r="431" spans="2:16" x14ac:dyDescent="0.35">
      <c r="B431" s="190"/>
      <c r="C431" s="190"/>
      <c r="D431" s="190"/>
      <c r="E431" s="275"/>
      <c r="F431" s="192"/>
      <c r="G431" s="190"/>
      <c r="H431" s="193"/>
      <c r="I431" s="276"/>
      <c r="J431" s="194"/>
      <c r="K431" s="195">
        <f t="shared" si="49"/>
        <v>31</v>
      </c>
      <c r="L431" s="195">
        <f t="shared" si="49"/>
        <v>31</v>
      </c>
      <c r="M431" s="190"/>
      <c r="N431" s="196"/>
      <c r="O431" s="197"/>
      <c r="P431" s="198" t="str">
        <f t="shared" si="48"/>
        <v/>
      </c>
    </row>
    <row r="432" spans="2:16" x14ac:dyDescent="0.35">
      <c r="B432" s="190"/>
      <c r="C432" s="190"/>
      <c r="D432" s="190"/>
      <c r="E432" s="275"/>
      <c r="F432" s="192"/>
      <c r="G432" s="190"/>
      <c r="H432" s="193"/>
      <c r="I432" s="276"/>
      <c r="J432" s="194"/>
      <c r="K432" s="195">
        <f t="shared" si="49"/>
        <v>31</v>
      </c>
      <c r="L432" s="195">
        <f t="shared" si="49"/>
        <v>31</v>
      </c>
      <c r="M432" s="190"/>
      <c r="N432" s="196"/>
      <c r="O432" s="197"/>
      <c r="P432" s="198" t="str">
        <f t="shared" si="48"/>
        <v/>
      </c>
    </row>
    <row r="433" spans="2:16" x14ac:dyDescent="0.35">
      <c r="B433" s="190"/>
      <c r="C433" s="190"/>
      <c r="D433" s="190"/>
      <c r="E433" s="275"/>
      <c r="F433" s="192"/>
      <c r="G433" s="190"/>
      <c r="H433" s="193"/>
      <c r="I433" s="276"/>
      <c r="J433" s="194"/>
      <c r="K433" s="195">
        <f t="shared" si="49"/>
        <v>31</v>
      </c>
      <c r="L433" s="195">
        <f t="shared" si="49"/>
        <v>31</v>
      </c>
      <c r="M433" s="190"/>
      <c r="N433" s="196"/>
      <c r="O433" s="197"/>
      <c r="P433" s="198" t="str">
        <f t="shared" si="48"/>
        <v/>
      </c>
    </row>
    <row r="434" spans="2:16" x14ac:dyDescent="0.35">
      <c r="B434" s="190"/>
      <c r="C434" s="190"/>
      <c r="D434" s="190"/>
      <c r="E434" s="275"/>
      <c r="F434" s="192"/>
      <c r="G434" s="190"/>
      <c r="H434" s="193"/>
      <c r="I434" s="276"/>
      <c r="J434" s="194"/>
      <c r="K434" s="195">
        <f t="shared" si="49"/>
        <v>31</v>
      </c>
      <c r="L434" s="195">
        <f t="shared" si="49"/>
        <v>31</v>
      </c>
      <c r="M434" s="190"/>
      <c r="N434" s="196"/>
      <c r="O434" s="197"/>
      <c r="P434" s="198" t="str">
        <f t="shared" si="48"/>
        <v/>
      </c>
    </row>
    <row r="435" spans="2:16" x14ac:dyDescent="0.35">
      <c r="B435" s="190"/>
      <c r="C435" s="190"/>
      <c r="D435" s="190"/>
      <c r="E435" s="275"/>
      <c r="F435" s="192"/>
      <c r="G435" s="190"/>
      <c r="H435" s="193"/>
      <c r="I435" s="276"/>
      <c r="J435" s="194"/>
      <c r="K435" s="195">
        <f t="shared" si="49"/>
        <v>31</v>
      </c>
      <c r="L435" s="195">
        <f t="shared" si="49"/>
        <v>31</v>
      </c>
      <c r="M435" s="190"/>
      <c r="N435" s="196"/>
      <c r="O435" s="197"/>
      <c r="P435" s="198" t="str">
        <f t="shared" si="48"/>
        <v/>
      </c>
    </row>
    <row r="436" spans="2:16" x14ac:dyDescent="0.35">
      <c r="B436" s="190"/>
      <c r="C436" s="190"/>
      <c r="D436" s="190"/>
      <c r="E436" s="275"/>
      <c r="F436" s="192"/>
      <c r="G436" s="190"/>
      <c r="H436" s="193"/>
      <c r="I436" s="276"/>
      <c r="J436" s="194"/>
      <c r="K436" s="195">
        <f t="shared" si="49"/>
        <v>31</v>
      </c>
      <c r="L436" s="195">
        <f t="shared" si="49"/>
        <v>31</v>
      </c>
      <c r="M436" s="190"/>
      <c r="N436" s="196"/>
      <c r="O436" s="197"/>
      <c r="P436" s="198" t="str">
        <f t="shared" si="48"/>
        <v/>
      </c>
    </row>
    <row r="437" spans="2:16" x14ac:dyDescent="0.35">
      <c r="B437" s="190"/>
      <c r="C437" s="190"/>
      <c r="D437" s="190"/>
      <c r="E437" s="275"/>
      <c r="F437" s="192"/>
      <c r="G437" s="190"/>
      <c r="H437" s="193"/>
      <c r="I437" s="276"/>
      <c r="J437" s="194"/>
      <c r="K437" s="195">
        <f t="shared" si="49"/>
        <v>31</v>
      </c>
      <c r="L437" s="195">
        <f t="shared" si="49"/>
        <v>31</v>
      </c>
      <c r="M437" s="190"/>
      <c r="N437" s="196"/>
      <c r="O437" s="197"/>
      <c r="P437" s="198" t="str">
        <f t="shared" si="48"/>
        <v/>
      </c>
    </row>
    <row r="438" spans="2:16" x14ac:dyDescent="0.35">
      <c r="B438" s="190"/>
      <c r="C438" s="190"/>
      <c r="D438" s="190"/>
      <c r="E438" s="275"/>
      <c r="F438" s="192"/>
      <c r="G438" s="190"/>
      <c r="H438" s="193"/>
      <c r="I438" s="276"/>
      <c r="J438" s="194"/>
      <c r="K438" s="195">
        <f t="shared" si="49"/>
        <v>31</v>
      </c>
      <c r="L438" s="195">
        <f t="shared" si="49"/>
        <v>31</v>
      </c>
      <c r="M438" s="190"/>
      <c r="N438" s="196"/>
      <c r="O438" s="197"/>
      <c r="P438" s="198" t="str">
        <f t="shared" si="48"/>
        <v/>
      </c>
    </row>
    <row r="439" spans="2:16" x14ac:dyDescent="0.35">
      <c r="B439" s="190"/>
      <c r="C439" s="190"/>
      <c r="D439" s="190"/>
      <c r="E439" s="275"/>
      <c r="F439" s="192"/>
      <c r="G439" s="190"/>
      <c r="H439" s="193"/>
      <c r="I439" s="276"/>
      <c r="J439" s="194"/>
      <c r="K439" s="195">
        <f t="shared" si="49"/>
        <v>31</v>
      </c>
      <c r="L439" s="195">
        <f t="shared" si="49"/>
        <v>31</v>
      </c>
      <c r="M439" s="190"/>
      <c r="N439" s="196"/>
      <c r="O439" s="197"/>
      <c r="P439" s="198" t="str">
        <f t="shared" si="48"/>
        <v/>
      </c>
    </row>
    <row r="440" spans="2:16" x14ac:dyDescent="0.35">
      <c r="B440" s="190"/>
      <c r="C440" s="190"/>
      <c r="D440" s="190"/>
      <c r="E440" s="275"/>
      <c r="F440" s="192"/>
      <c r="G440" s="190"/>
      <c r="H440" s="193"/>
      <c r="I440" s="276"/>
      <c r="J440" s="194"/>
      <c r="K440" s="195">
        <f t="shared" si="49"/>
        <v>31</v>
      </c>
      <c r="L440" s="195">
        <f t="shared" si="49"/>
        <v>31</v>
      </c>
      <c r="M440" s="190"/>
      <c r="N440" s="196"/>
      <c r="O440" s="197"/>
      <c r="P440" s="198" t="str">
        <f t="shared" si="48"/>
        <v/>
      </c>
    </row>
    <row r="441" spans="2:16" x14ac:dyDescent="0.35">
      <c r="B441" s="190"/>
      <c r="C441" s="190"/>
      <c r="D441" s="190"/>
      <c r="E441" s="275"/>
      <c r="F441" s="192"/>
      <c r="G441" s="190"/>
      <c r="H441" s="193"/>
      <c r="I441" s="276"/>
      <c r="J441" s="194"/>
      <c r="K441" s="195">
        <f t="shared" si="49"/>
        <v>31</v>
      </c>
      <c r="L441" s="195">
        <f t="shared" si="49"/>
        <v>31</v>
      </c>
      <c r="M441" s="190"/>
      <c r="N441" s="196"/>
      <c r="O441" s="197"/>
      <c r="P441" s="198" t="str">
        <f t="shared" si="48"/>
        <v/>
      </c>
    </row>
    <row r="442" spans="2:16" x14ac:dyDescent="0.35">
      <c r="B442" s="190"/>
      <c r="C442" s="190"/>
      <c r="D442" s="190"/>
      <c r="E442" s="275"/>
      <c r="F442" s="192"/>
      <c r="G442" s="190"/>
      <c r="H442" s="193"/>
      <c r="I442" s="276"/>
      <c r="J442" s="194"/>
      <c r="K442" s="195">
        <f t="shared" si="49"/>
        <v>31</v>
      </c>
      <c r="L442" s="195">
        <f t="shared" si="49"/>
        <v>31</v>
      </c>
      <c r="M442" s="190"/>
      <c r="N442" s="196"/>
      <c r="O442" s="197"/>
      <c r="P442" s="198" t="str">
        <f t="shared" si="48"/>
        <v/>
      </c>
    </row>
    <row r="443" spans="2:16" x14ac:dyDescent="0.35">
      <c r="B443" s="190"/>
      <c r="C443" s="190"/>
      <c r="D443" s="190"/>
      <c r="E443" s="275"/>
      <c r="F443" s="192"/>
      <c r="G443" s="190"/>
      <c r="H443" s="193"/>
      <c r="I443" s="276"/>
      <c r="J443" s="194"/>
      <c r="K443" s="195">
        <f t="shared" si="49"/>
        <v>31</v>
      </c>
      <c r="L443" s="195">
        <f t="shared" si="49"/>
        <v>31</v>
      </c>
      <c r="M443" s="190"/>
      <c r="N443" s="196"/>
      <c r="O443" s="197"/>
      <c r="P443" s="198" t="str">
        <f t="shared" si="48"/>
        <v/>
      </c>
    </row>
    <row r="444" spans="2:16" x14ac:dyDescent="0.35">
      <c r="B444" s="190"/>
      <c r="C444" s="190"/>
      <c r="D444" s="190"/>
      <c r="E444" s="275"/>
      <c r="F444" s="192"/>
      <c r="G444" s="190"/>
      <c r="H444" s="193"/>
      <c r="I444" s="276"/>
      <c r="J444" s="194"/>
      <c r="K444" s="195">
        <f t="shared" si="49"/>
        <v>31</v>
      </c>
      <c r="L444" s="195">
        <f t="shared" si="49"/>
        <v>31</v>
      </c>
      <c r="M444" s="190"/>
      <c r="N444" s="196"/>
      <c r="O444" s="197"/>
      <c r="P444" s="198" t="str">
        <f t="shared" si="48"/>
        <v/>
      </c>
    </row>
    <row r="445" spans="2:16" x14ac:dyDescent="0.35">
      <c r="B445" s="190"/>
      <c r="C445" s="190"/>
      <c r="D445" s="190"/>
      <c r="E445" s="275"/>
      <c r="F445" s="192"/>
      <c r="G445" s="190"/>
      <c r="H445" s="193"/>
      <c r="I445" s="276"/>
      <c r="J445" s="194"/>
      <c r="K445" s="195">
        <f t="shared" si="49"/>
        <v>31</v>
      </c>
      <c r="L445" s="195">
        <f t="shared" si="49"/>
        <v>31</v>
      </c>
      <c r="M445" s="190"/>
      <c r="N445" s="196"/>
      <c r="O445" s="197"/>
      <c r="P445" s="198" t="str">
        <f t="shared" si="48"/>
        <v/>
      </c>
    </row>
    <row r="446" spans="2:16" x14ac:dyDescent="0.35">
      <c r="B446" s="190"/>
      <c r="C446" s="190"/>
      <c r="D446" s="190"/>
      <c r="E446" s="275"/>
      <c r="F446" s="192"/>
      <c r="G446" s="190"/>
      <c r="H446" s="193"/>
      <c r="I446" s="276"/>
      <c r="J446" s="194"/>
      <c r="K446" s="195">
        <f t="shared" si="49"/>
        <v>31</v>
      </c>
      <c r="L446" s="195">
        <f t="shared" si="49"/>
        <v>31</v>
      </c>
      <c r="M446" s="190"/>
      <c r="N446" s="196"/>
      <c r="O446" s="197"/>
      <c r="P446" s="198" t="str">
        <f t="shared" si="48"/>
        <v/>
      </c>
    </row>
    <row r="447" spans="2:16" x14ac:dyDescent="0.35">
      <c r="B447" s="190"/>
      <c r="C447" s="190"/>
      <c r="D447" s="190"/>
      <c r="E447" s="275"/>
      <c r="F447" s="192"/>
      <c r="G447" s="190"/>
      <c r="H447" s="193"/>
      <c r="I447" s="276"/>
      <c r="J447" s="194"/>
      <c r="K447" s="195">
        <f t="shared" si="49"/>
        <v>31</v>
      </c>
      <c r="L447" s="195">
        <f t="shared" si="49"/>
        <v>31</v>
      </c>
      <c r="M447" s="190"/>
      <c r="N447" s="196"/>
      <c r="O447" s="197"/>
      <c r="P447" s="198" t="str">
        <f t="shared" si="48"/>
        <v/>
      </c>
    </row>
    <row r="448" spans="2:16" x14ac:dyDescent="0.35">
      <c r="B448" s="190"/>
      <c r="C448" s="190"/>
      <c r="D448" s="190"/>
      <c r="E448" s="275"/>
      <c r="F448" s="192"/>
      <c r="G448" s="190"/>
      <c r="H448" s="193"/>
      <c r="I448" s="276"/>
      <c r="J448" s="194"/>
      <c r="K448" s="195">
        <f t="shared" si="49"/>
        <v>31</v>
      </c>
      <c r="L448" s="195">
        <f t="shared" si="49"/>
        <v>31</v>
      </c>
      <c r="M448" s="190"/>
      <c r="N448" s="196"/>
      <c r="O448" s="197"/>
      <c r="P448" s="198" t="str">
        <f t="shared" si="48"/>
        <v/>
      </c>
    </row>
    <row r="449" spans="2:16" x14ac:dyDescent="0.35">
      <c r="B449" s="190"/>
      <c r="C449" s="190"/>
      <c r="D449" s="190"/>
      <c r="E449" s="275"/>
      <c r="F449" s="192"/>
      <c r="G449" s="190"/>
      <c r="H449" s="193"/>
      <c r="I449" s="276"/>
      <c r="J449" s="194"/>
      <c r="K449" s="195">
        <f t="shared" si="49"/>
        <v>31</v>
      </c>
      <c r="L449" s="195">
        <f t="shared" si="49"/>
        <v>31</v>
      </c>
      <c r="M449" s="190"/>
      <c r="N449" s="196"/>
      <c r="O449" s="197"/>
      <c r="P449" s="198" t="str">
        <f t="shared" si="48"/>
        <v/>
      </c>
    </row>
    <row r="450" spans="2:16" x14ac:dyDescent="0.35">
      <c r="B450" s="190"/>
      <c r="C450" s="190"/>
      <c r="D450" s="190"/>
      <c r="E450" s="275"/>
      <c r="F450" s="192"/>
      <c r="G450" s="190"/>
      <c r="H450" s="193"/>
      <c r="I450" s="276"/>
      <c r="J450" s="194"/>
      <c r="K450" s="195">
        <f t="shared" si="49"/>
        <v>31</v>
      </c>
      <c r="L450" s="195">
        <f t="shared" si="49"/>
        <v>31</v>
      </c>
      <c r="M450" s="190"/>
      <c r="N450" s="196"/>
      <c r="O450" s="197"/>
      <c r="P450" s="198" t="str">
        <f t="shared" si="48"/>
        <v/>
      </c>
    </row>
    <row r="451" spans="2:16" x14ac:dyDescent="0.35">
      <c r="B451" s="190"/>
      <c r="C451" s="190"/>
      <c r="D451" s="190"/>
      <c r="E451" s="275"/>
      <c r="F451" s="192"/>
      <c r="G451" s="190"/>
      <c r="H451" s="193"/>
      <c r="I451" s="276"/>
      <c r="J451" s="194"/>
      <c r="K451" s="195">
        <f t="shared" si="49"/>
        <v>31</v>
      </c>
      <c r="L451" s="195">
        <f t="shared" si="49"/>
        <v>31</v>
      </c>
      <c r="M451" s="190"/>
      <c r="N451" s="196"/>
      <c r="O451" s="197"/>
      <c r="P451" s="198" t="str">
        <f t="shared" si="48"/>
        <v/>
      </c>
    </row>
    <row r="452" spans="2:16" x14ac:dyDescent="0.35">
      <c r="B452" s="190"/>
      <c r="C452" s="190"/>
      <c r="D452" s="190"/>
      <c r="E452" s="275"/>
      <c r="F452" s="192"/>
      <c r="G452" s="190"/>
      <c r="H452" s="193"/>
      <c r="I452" s="276"/>
      <c r="J452" s="194"/>
      <c r="K452" s="195">
        <f t="shared" si="49"/>
        <v>31</v>
      </c>
      <c r="L452" s="195">
        <f t="shared" si="49"/>
        <v>31</v>
      </c>
      <c r="M452" s="190"/>
      <c r="N452" s="196"/>
      <c r="O452" s="197"/>
      <c r="P452" s="198" t="str">
        <f t="shared" si="48"/>
        <v/>
      </c>
    </row>
    <row r="453" spans="2:16" x14ac:dyDescent="0.35">
      <c r="B453" s="190"/>
      <c r="C453" s="190"/>
      <c r="D453" s="190"/>
      <c r="E453" s="275"/>
      <c r="F453" s="192"/>
      <c r="G453" s="190"/>
      <c r="H453" s="193"/>
      <c r="I453" s="276"/>
      <c r="J453" s="194"/>
      <c r="K453" s="195">
        <f t="shared" si="49"/>
        <v>31</v>
      </c>
      <c r="L453" s="195">
        <f t="shared" si="49"/>
        <v>31</v>
      </c>
      <c r="M453" s="190"/>
      <c r="N453" s="196"/>
      <c r="O453" s="197"/>
      <c r="P453" s="198" t="str">
        <f t="shared" si="48"/>
        <v/>
      </c>
    </row>
    <row r="454" spans="2:16" x14ac:dyDescent="0.35">
      <c r="B454" s="190"/>
      <c r="C454" s="190"/>
      <c r="D454" s="190"/>
      <c r="E454" s="275"/>
      <c r="F454" s="192"/>
      <c r="G454" s="190"/>
      <c r="H454" s="193"/>
      <c r="I454" s="276"/>
      <c r="J454" s="194"/>
      <c r="K454" s="195">
        <f t="shared" si="49"/>
        <v>31</v>
      </c>
      <c r="L454" s="195">
        <f t="shared" si="49"/>
        <v>31</v>
      </c>
      <c r="M454" s="190"/>
      <c r="N454" s="196"/>
      <c r="O454" s="197"/>
      <c r="P454" s="198" t="str">
        <f t="shared" si="48"/>
        <v/>
      </c>
    </row>
    <row r="455" spans="2:16" x14ac:dyDescent="0.35">
      <c r="B455" s="190"/>
      <c r="C455" s="190"/>
      <c r="D455" s="190"/>
      <c r="E455" s="275"/>
      <c r="F455" s="192"/>
      <c r="G455" s="190"/>
      <c r="H455" s="193"/>
      <c r="I455" s="276"/>
      <c r="J455" s="194"/>
      <c r="K455" s="195">
        <f t="shared" si="49"/>
        <v>31</v>
      </c>
      <c r="L455" s="195">
        <f t="shared" si="49"/>
        <v>31</v>
      </c>
      <c r="M455" s="190"/>
      <c r="N455" s="196"/>
      <c r="O455" s="197"/>
      <c r="P455" s="198" t="str">
        <f t="shared" si="48"/>
        <v/>
      </c>
    </row>
    <row r="456" spans="2:16" x14ac:dyDescent="0.35">
      <c r="B456" s="190"/>
      <c r="C456" s="190"/>
      <c r="D456" s="190"/>
      <c r="E456" s="275"/>
      <c r="F456" s="192"/>
      <c r="G456" s="190"/>
      <c r="H456" s="193"/>
      <c r="I456" s="276"/>
      <c r="J456" s="194"/>
      <c r="K456" s="195">
        <f t="shared" si="49"/>
        <v>31</v>
      </c>
      <c r="L456" s="195">
        <f t="shared" si="49"/>
        <v>31</v>
      </c>
      <c r="M456" s="190"/>
      <c r="N456" s="196"/>
      <c r="O456" s="197"/>
      <c r="P456" s="198" t="str">
        <f t="shared" ref="P456:P519" si="50">IF(H456="","",IF(($C$5-H456)/365&gt;1.5,"Renewed Lease","New Lease"))</f>
        <v/>
      </c>
    </row>
    <row r="457" spans="2:16" x14ac:dyDescent="0.35">
      <c r="B457" s="190"/>
      <c r="C457" s="190"/>
      <c r="D457" s="190"/>
      <c r="E457" s="275"/>
      <c r="F457" s="192"/>
      <c r="G457" s="190"/>
      <c r="H457" s="193"/>
      <c r="I457" s="276"/>
      <c r="J457" s="194"/>
      <c r="K457" s="195">
        <f t="shared" si="49"/>
        <v>31</v>
      </c>
      <c r="L457" s="195">
        <f t="shared" si="49"/>
        <v>31</v>
      </c>
      <c r="M457" s="190"/>
      <c r="N457" s="196"/>
      <c r="O457" s="197"/>
      <c r="P457" s="198" t="str">
        <f t="shared" si="50"/>
        <v/>
      </c>
    </row>
    <row r="458" spans="2:16" x14ac:dyDescent="0.35">
      <c r="B458" s="190"/>
      <c r="C458" s="190"/>
      <c r="D458" s="190"/>
      <c r="E458" s="275"/>
      <c r="F458" s="192"/>
      <c r="G458" s="190"/>
      <c r="H458" s="193"/>
      <c r="I458" s="276"/>
      <c r="J458" s="194"/>
      <c r="K458" s="195">
        <f t="shared" si="49"/>
        <v>31</v>
      </c>
      <c r="L458" s="195">
        <f t="shared" si="49"/>
        <v>31</v>
      </c>
      <c r="M458" s="190"/>
      <c r="N458" s="196"/>
      <c r="O458" s="197"/>
      <c r="P458" s="198" t="str">
        <f t="shared" si="50"/>
        <v/>
      </c>
    </row>
    <row r="459" spans="2:16" x14ac:dyDescent="0.35">
      <c r="B459" s="190"/>
      <c r="C459" s="190"/>
      <c r="D459" s="190"/>
      <c r="E459" s="275"/>
      <c r="F459" s="192"/>
      <c r="G459" s="190"/>
      <c r="H459" s="193"/>
      <c r="I459" s="276"/>
      <c r="J459" s="194"/>
      <c r="K459" s="195">
        <f t="shared" si="49"/>
        <v>31</v>
      </c>
      <c r="L459" s="195">
        <f t="shared" si="49"/>
        <v>31</v>
      </c>
      <c r="M459" s="190"/>
      <c r="N459" s="196"/>
      <c r="O459" s="197"/>
      <c r="P459" s="198" t="str">
        <f t="shared" si="50"/>
        <v/>
      </c>
    </row>
    <row r="460" spans="2:16" x14ac:dyDescent="0.35">
      <c r="B460" s="190"/>
      <c r="C460" s="190"/>
      <c r="D460" s="190"/>
      <c r="E460" s="275"/>
      <c r="F460" s="192"/>
      <c r="G460" s="190"/>
      <c r="H460" s="193"/>
      <c r="I460" s="276"/>
      <c r="J460" s="194"/>
      <c r="K460" s="195">
        <f t="shared" si="49"/>
        <v>31</v>
      </c>
      <c r="L460" s="195">
        <f t="shared" si="49"/>
        <v>31</v>
      </c>
      <c r="M460" s="190"/>
      <c r="N460" s="196"/>
      <c r="O460" s="197"/>
      <c r="P460" s="198" t="str">
        <f t="shared" si="50"/>
        <v/>
      </c>
    </row>
    <row r="461" spans="2:16" x14ac:dyDescent="0.35">
      <c r="B461" s="190"/>
      <c r="C461" s="190"/>
      <c r="D461" s="190"/>
      <c r="E461" s="275"/>
      <c r="F461" s="192"/>
      <c r="G461" s="190"/>
      <c r="H461" s="193"/>
      <c r="I461" s="276"/>
      <c r="J461" s="194"/>
      <c r="K461" s="195">
        <f t="shared" si="49"/>
        <v>31</v>
      </c>
      <c r="L461" s="195">
        <f t="shared" si="49"/>
        <v>31</v>
      </c>
      <c r="M461" s="190"/>
      <c r="N461" s="196"/>
      <c r="O461" s="197"/>
      <c r="P461" s="198" t="str">
        <f t="shared" si="50"/>
        <v/>
      </c>
    </row>
    <row r="462" spans="2:16" x14ac:dyDescent="0.35">
      <c r="B462" s="190"/>
      <c r="C462" s="190"/>
      <c r="D462" s="190"/>
      <c r="E462" s="275"/>
      <c r="F462" s="192"/>
      <c r="G462" s="190"/>
      <c r="H462" s="193"/>
      <c r="I462" s="276"/>
      <c r="J462" s="194"/>
      <c r="K462" s="195">
        <f t="shared" si="49"/>
        <v>31</v>
      </c>
      <c r="L462" s="195">
        <f t="shared" si="49"/>
        <v>31</v>
      </c>
      <c r="M462" s="190"/>
      <c r="N462" s="196"/>
      <c r="O462" s="197"/>
      <c r="P462" s="198" t="str">
        <f t="shared" si="50"/>
        <v/>
      </c>
    </row>
    <row r="463" spans="2:16" x14ac:dyDescent="0.35">
      <c r="B463" s="190"/>
      <c r="C463" s="190"/>
      <c r="D463" s="190"/>
      <c r="E463" s="275"/>
      <c r="F463" s="192"/>
      <c r="G463" s="190"/>
      <c r="H463" s="193"/>
      <c r="I463" s="276"/>
      <c r="J463" s="194"/>
      <c r="K463" s="195">
        <f t="shared" si="49"/>
        <v>31</v>
      </c>
      <c r="L463" s="195">
        <f t="shared" si="49"/>
        <v>31</v>
      </c>
      <c r="M463" s="190"/>
      <c r="N463" s="196"/>
      <c r="O463" s="197"/>
      <c r="P463" s="198" t="str">
        <f t="shared" si="50"/>
        <v/>
      </c>
    </row>
    <row r="464" spans="2:16" x14ac:dyDescent="0.35">
      <c r="B464" s="190"/>
      <c r="C464" s="190"/>
      <c r="D464" s="190"/>
      <c r="E464" s="275"/>
      <c r="F464" s="192"/>
      <c r="G464" s="190"/>
      <c r="H464" s="193"/>
      <c r="I464" s="276"/>
      <c r="J464" s="194"/>
      <c r="K464" s="195">
        <f t="shared" si="49"/>
        <v>31</v>
      </c>
      <c r="L464" s="195">
        <f t="shared" si="49"/>
        <v>31</v>
      </c>
      <c r="M464" s="190"/>
      <c r="N464" s="196"/>
      <c r="O464" s="197"/>
      <c r="P464" s="198" t="str">
        <f t="shared" si="50"/>
        <v/>
      </c>
    </row>
    <row r="465" spans="2:16" x14ac:dyDescent="0.35">
      <c r="B465" s="190"/>
      <c r="C465" s="190"/>
      <c r="D465" s="190"/>
      <c r="E465" s="275"/>
      <c r="F465" s="192"/>
      <c r="G465" s="190"/>
      <c r="H465" s="193"/>
      <c r="I465" s="276"/>
      <c r="J465" s="194"/>
      <c r="K465" s="195">
        <f t="shared" ref="K465:L528" si="51">EOMONTH(I465,0)</f>
        <v>31</v>
      </c>
      <c r="L465" s="195">
        <f t="shared" si="51"/>
        <v>31</v>
      </c>
      <c r="M465" s="190"/>
      <c r="N465" s="196"/>
      <c r="O465" s="197"/>
      <c r="P465" s="198" t="str">
        <f t="shared" si="50"/>
        <v/>
      </c>
    </row>
    <row r="466" spans="2:16" x14ac:dyDescent="0.35">
      <c r="B466" s="190"/>
      <c r="C466" s="190"/>
      <c r="D466" s="190"/>
      <c r="E466" s="275"/>
      <c r="F466" s="192"/>
      <c r="G466" s="190"/>
      <c r="H466" s="193"/>
      <c r="I466" s="276"/>
      <c r="J466" s="194"/>
      <c r="K466" s="195">
        <f t="shared" si="51"/>
        <v>31</v>
      </c>
      <c r="L466" s="195">
        <f t="shared" si="51"/>
        <v>31</v>
      </c>
      <c r="M466" s="190"/>
      <c r="N466" s="196"/>
      <c r="O466" s="197"/>
      <c r="P466" s="198" t="str">
        <f t="shared" si="50"/>
        <v/>
      </c>
    </row>
    <row r="467" spans="2:16" x14ac:dyDescent="0.35">
      <c r="B467" s="190"/>
      <c r="C467" s="190"/>
      <c r="D467" s="190"/>
      <c r="E467" s="275"/>
      <c r="F467" s="192"/>
      <c r="G467" s="190"/>
      <c r="H467" s="193"/>
      <c r="I467" s="276"/>
      <c r="J467" s="194"/>
      <c r="K467" s="195">
        <f t="shared" si="51"/>
        <v>31</v>
      </c>
      <c r="L467" s="195">
        <f t="shared" si="51"/>
        <v>31</v>
      </c>
      <c r="M467" s="190"/>
      <c r="N467" s="196"/>
      <c r="O467" s="197"/>
      <c r="P467" s="198" t="str">
        <f t="shared" si="50"/>
        <v/>
      </c>
    </row>
    <row r="468" spans="2:16" x14ac:dyDescent="0.35">
      <c r="B468" s="190"/>
      <c r="C468" s="190"/>
      <c r="D468" s="190"/>
      <c r="E468" s="275"/>
      <c r="F468" s="192"/>
      <c r="G468" s="190"/>
      <c r="H468" s="193"/>
      <c r="I468" s="276"/>
      <c r="J468" s="194"/>
      <c r="K468" s="195">
        <f t="shared" si="51"/>
        <v>31</v>
      </c>
      <c r="L468" s="195">
        <f t="shared" si="51"/>
        <v>31</v>
      </c>
      <c r="M468" s="190"/>
      <c r="N468" s="196"/>
      <c r="O468" s="197"/>
      <c r="P468" s="198" t="str">
        <f t="shared" si="50"/>
        <v/>
      </c>
    </row>
    <row r="469" spans="2:16" x14ac:dyDescent="0.35">
      <c r="B469" s="190"/>
      <c r="C469" s="190"/>
      <c r="D469" s="190"/>
      <c r="E469" s="275"/>
      <c r="F469" s="192"/>
      <c r="G469" s="190"/>
      <c r="H469" s="193"/>
      <c r="I469" s="276"/>
      <c r="J469" s="194"/>
      <c r="K469" s="195">
        <f t="shared" si="51"/>
        <v>31</v>
      </c>
      <c r="L469" s="195">
        <f t="shared" si="51"/>
        <v>31</v>
      </c>
      <c r="M469" s="190"/>
      <c r="N469" s="196"/>
      <c r="O469" s="197"/>
      <c r="P469" s="198" t="str">
        <f t="shared" si="50"/>
        <v/>
      </c>
    </row>
    <row r="470" spans="2:16" x14ac:dyDescent="0.35">
      <c r="B470" s="190"/>
      <c r="C470" s="190"/>
      <c r="D470" s="190"/>
      <c r="E470" s="275"/>
      <c r="F470" s="192"/>
      <c r="G470" s="190"/>
      <c r="H470" s="193"/>
      <c r="I470" s="276"/>
      <c r="J470" s="194"/>
      <c r="K470" s="195">
        <f t="shared" si="51"/>
        <v>31</v>
      </c>
      <c r="L470" s="195">
        <f t="shared" si="51"/>
        <v>31</v>
      </c>
      <c r="M470" s="190"/>
      <c r="N470" s="196"/>
      <c r="O470" s="197"/>
      <c r="P470" s="198" t="str">
        <f t="shared" si="50"/>
        <v/>
      </c>
    </row>
    <row r="471" spans="2:16" x14ac:dyDescent="0.35">
      <c r="B471" s="190"/>
      <c r="C471" s="190"/>
      <c r="D471" s="190"/>
      <c r="E471" s="275"/>
      <c r="F471" s="192"/>
      <c r="G471" s="190"/>
      <c r="H471" s="193"/>
      <c r="I471" s="276"/>
      <c r="J471" s="194"/>
      <c r="K471" s="195">
        <f t="shared" si="51"/>
        <v>31</v>
      </c>
      <c r="L471" s="195">
        <f t="shared" si="51"/>
        <v>31</v>
      </c>
      <c r="M471" s="190"/>
      <c r="N471" s="196"/>
      <c r="O471" s="197"/>
      <c r="P471" s="198" t="str">
        <f t="shared" si="50"/>
        <v/>
      </c>
    </row>
    <row r="472" spans="2:16" x14ac:dyDescent="0.35">
      <c r="B472" s="190"/>
      <c r="C472" s="190"/>
      <c r="D472" s="190"/>
      <c r="E472" s="275"/>
      <c r="F472" s="192"/>
      <c r="G472" s="190"/>
      <c r="H472" s="193"/>
      <c r="I472" s="276"/>
      <c r="J472" s="194"/>
      <c r="K472" s="195">
        <f t="shared" si="51"/>
        <v>31</v>
      </c>
      <c r="L472" s="195">
        <f t="shared" si="51"/>
        <v>31</v>
      </c>
      <c r="M472" s="190"/>
      <c r="N472" s="196"/>
      <c r="O472" s="197"/>
      <c r="P472" s="198" t="str">
        <f t="shared" si="50"/>
        <v/>
      </c>
    </row>
    <row r="473" spans="2:16" x14ac:dyDescent="0.35">
      <c r="B473" s="190"/>
      <c r="C473" s="190"/>
      <c r="D473" s="190"/>
      <c r="E473" s="275"/>
      <c r="F473" s="192"/>
      <c r="G473" s="190"/>
      <c r="H473" s="193"/>
      <c r="I473" s="276"/>
      <c r="J473" s="194"/>
      <c r="K473" s="195">
        <f t="shared" si="51"/>
        <v>31</v>
      </c>
      <c r="L473" s="195">
        <f t="shared" si="51"/>
        <v>31</v>
      </c>
      <c r="M473" s="190"/>
      <c r="N473" s="196"/>
      <c r="O473" s="197"/>
      <c r="P473" s="198" t="str">
        <f t="shared" si="50"/>
        <v/>
      </c>
    </row>
    <row r="474" spans="2:16" x14ac:dyDescent="0.35">
      <c r="B474" s="190"/>
      <c r="C474" s="190"/>
      <c r="D474" s="190"/>
      <c r="E474" s="275"/>
      <c r="F474" s="192"/>
      <c r="G474" s="190"/>
      <c r="H474" s="193"/>
      <c r="I474" s="276"/>
      <c r="J474" s="194"/>
      <c r="K474" s="195">
        <f t="shared" si="51"/>
        <v>31</v>
      </c>
      <c r="L474" s="195">
        <f t="shared" si="51"/>
        <v>31</v>
      </c>
      <c r="M474" s="190"/>
      <c r="N474" s="196"/>
      <c r="O474" s="197"/>
      <c r="P474" s="198" t="str">
        <f t="shared" si="50"/>
        <v/>
      </c>
    </row>
    <row r="475" spans="2:16" x14ac:dyDescent="0.35">
      <c r="B475" s="190"/>
      <c r="C475" s="190"/>
      <c r="D475" s="190"/>
      <c r="E475" s="275"/>
      <c r="F475" s="192"/>
      <c r="G475" s="190"/>
      <c r="H475" s="193"/>
      <c r="I475" s="276"/>
      <c r="J475" s="194"/>
      <c r="K475" s="195">
        <f t="shared" si="51"/>
        <v>31</v>
      </c>
      <c r="L475" s="195">
        <f t="shared" si="51"/>
        <v>31</v>
      </c>
      <c r="M475" s="190"/>
      <c r="N475" s="196"/>
      <c r="O475" s="197"/>
      <c r="P475" s="198" t="str">
        <f t="shared" si="50"/>
        <v/>
      </c>
    </row>
    <row r="476" spans="2:16" x14ac:dyDescent="0.35">
      <c r="B476" s="190"/>
      <c r="C476" s="190"/>
      <c r="D476" s="190"/>
      <c r="E476" s="275"/>
      <c r="F476" s="192"/>
      <c r="G476" s="190"/>
      <c r="H476" s="193"/>
      <c r="I476" s="276"/>
      <c r="J476" s="194"/>
      <c r="K476" s="195">
        <f t="shared" si="51"/>
        <v>31</v>
      </c>
      <c r="L476" s="195">
        <f t="shared" si="51"/>
        <v>31</v>
      </c>
      <c r="M476" s="190"/>
      <c r="N476" s="196"/>
      <c r="O476" s="197"/>
      <c r="P476" s="198" t="str">
        <f t="shared" si="50"/>
        <v/>
      </c>
    </row>
    <row r="477" spans="2:16" x14ac:dyDescent="0.35">
      <c r="B477" s="190"/>
      <c r="C477" s="190"/>
      <c r="D477" s="190"/>
      <c r="E477" s="275"/>
      <c r="F477" s="192"/>
      <c r="G477" s="190"/>
      <c r="H477" s="193"/>
      <c r="I477" s="276"/>
      <c r="J477" s="194"/>
      <c r="K477" s="195">
        <f t="shared" si="51"/>
        <v>31</v>
      </c>
      <c r="L477" s="195">
        <f t="shared" si="51"/>
        <v>31</v>
      </c>
      <c r="M477" s="190"/>
      <c r="N477" s="196"/>
      <c r="O477" s="197"/>
      <c r="P477" s="198" t="str">
        <f t="shared" si="50"/>
        <v/>
      </c>
    </row>
    <row r="478" spans="2:16" x14ac:dyDescent="0.35">
      <c r="B478" s="190"/>
      <c r="C478" s="190"/>
      <c r="D478" s="190"/>
      <c r="E478" s="275"/>
      <c r="F478" s="192"/>
      <c r="G478" s="190"/>
      <c r="H478" s="193"/>
      <c r="I478" s="276"/>
      <c r="J478" s="194"/>
      <c r="K478" s="195">
        <f t="shared" si="51"/>
        <v>31</v>
      </c>
      <c r="L478" s="195">
        <f t="shared" si="51"/>
        <v>31</v>
      </c>
      <c r="M478" s="190"/>
      <c r="N478" s="196"/>
      <c r="O478" s="197"/>
      <c r="P478" s="198" t="str">
        <f t="shared" si="50"/>
        <v/>
      </c>
    </row>
    <row r="479" spans="2:16" x14ac:dyDescent="0.35">
      <c r="B479" s="190"/>
      <c r="C479" s="190"/>
      <c r="D479" s="190"/>
      <c r="E479" s="275"/>
      <c r="F479" s="192"/>
      <c r="G479" s="190"/>
      <c r="H479" s="193"/>
      <c r="I479" s="276"/>
      <c r="J479" s="194"/>
      <c r="K479" s="195">
        <f t="shared" si="51"/>
        <v>31</v>
      </c>
      <c r="L479" s="195">
        <f t="shared" si="51"/>
        <v>31</v>
      </c>
      <c r="M479" s="190"/>
      <c r="N479" s="196"/>
      <c r="O479" s="197"/>
      <c r="P479" s="198" t="str">
        <f t="shared" si="50"/>
        <v/>
      </c>
    </row>
    <row r="480" spans="2:16" x14ac:dyDescent="0.35">
      <c r="B480" s="190"/>
      <c r="C480" s="190"/>
      <c r="D480" s="190"/>
      <c r="E480" s="275"/>
      <c r="F480" s="192"/>
      <c r="G480" s="190"/>
      <c r="H480" s="193"/>
      <c r="I480" s="276"/>
      <c r="J480" s="194"/>
      <c r="K480" s="195">
        <f t="shared" si="51"/>
        <v>31</v>
      </c>
      <c r="L480" s="195">
        <f t="shared" si="51"/>
        <v>31</v>
      </c>
      <c r="M480" s="190"/>
      <c r="N480" s="196"/>
      <c r="O480" s="197"/>
      <c r="P480" s="198" t="str">
        <f t="shared" si="50"/>
        <v/>
      </c>
    </row>
    <row r="481" spans="2:16" x14ac:dyDescent="0.35">
      <c r="B481" s="190"/>
      <c r="C481" s="190"/>
      <c r="D481" s="190"/>
      <c r="E481" s="275"/>
      <c r="F481" s="192"/>
      <c r="G481" s="190"/>
      <c r="H481" s="193"/>
      <c r="I481" s="276"/>
      <c r="J481" s="194"/>
      <c r="K481" s="195">
        <f t="shared" si="51"/>
        <v>31</v>
      </c>
      <c r="L481" s="195">
        <f t="shared" si="51"/>
        <v>31</v>
      </c>
      <c r="M481" s="190"/>
      <c r="N481" s="196"/>
      <c r="O481" s="197"/>
      <c r="P481" s="198" t="str">
        <f t="shared" si="50"/>
        <v/>
      </c>
    </row>
    <row r="482" spans="2:16" x14ac:dyDescent="0.35">
      <c r="B482" s="190"/>
      <c r="C482" s="190"/>
      <c r="D482" s="190"/>
      <c r="E482" s="275"/>
      <c r="F482" s="192"/>
      <c r="G482" s="190"/>
      <c r="H482" s="193"/>
      <c r="I482" s="276"/>
      <c r="J482" s="194"/>
      <c r="K482" s="195">
        <f t="shared" si="51"/>
        <v>31</v>
      </c>
      <c r="L482" s="195">
        <f t="shared" si="51"/>
        <v>31</v>
      </c>
      <c r="M482" s="190"/>
      <c r="N482" s="196"/>
      <c r="O482" s="197"/>
      <c r="P482" s="198" t="str">
        <f t="shared" si="50"/>
        <v/>
      </c>
    </row>
    <row r="483" spans="2:16" x14ac:dyDescent="0.35">
      <c r="B483" s="190"/>
      <c r="C483" s="190"/>
      <c r="D483" s="190"/>
      <c r="E483" s="275"/>
      <c r="F483" s="192"/>
      <c r="G483" s="190"/>
      <c r="H483" s="193"/>
      <c r="I483" s="276"/>
      <c r="J483" s="194"/>
      <c r="K483" s="195">
        <f t="shared" si="51"/>
        <v>31</v>
      </c>
      <c r="L483" s="195">
        <f t="shared" si="51"/>
        <v>31</v>
      </c>
      <c r="M483" s="190"/>
      <c r="N483" s="196"/>
      <c r="O483" s="197"/>
      <c r="P483" s="198" t="str">
        <f t="shared" si="50"/>
        <v/>
      </c>
    </row>
    <row r="484" spans="2:16" x14ac:dyDescent="0.35">
      <c r="B484" s="190"/>
      <c r="C484" s="190"/>
      <c r="D484" s="190"/>
      <c r="E484" s="275"/>
      <c r="F484" s="192"/>
      <c r="G484" s="190"/>
      <c r="H484" s="193"/>
      <c r="I484" s="276"/>
      <c r="J484" s="194"/>
      <c r="K484" s="195">
        <f t="shared" si="51"/>
        <v>31</v>
      </c>
      <c r="L484" s="195">
        <f t="shared" si="51"/>
        <v>31</v>
      </c>
      <c r="M484" s="190"/>
      <c r="N484" s="196"/>
      <c r="O484" s="197"/>
      <c r="P484" s="198" t="str">
        <f t="shared" si="50"/>
        <v/>
      </c>
    </row>
    <row r="485" spans="2:16" x14ac:dyDescent="0.35">
      <c r="B485" s="190"/>
      <c r="C485" s="190"/>
      <c r="D485" s="190"/>
      <c r="E485" s="275"/>
      <c r="F485" s="192"/>
      <c r="G485" s="190"/>
      <c r="H485" s="193"/>
      <c r="I485" s="276"/>
      <c r="J485" s="194"/>
      <c r="K485" s="195">
        <f t="shared" si="51"/>
        <v>31</v>
      </c>
      <c r="L485" s="195">
        <f t="shared" si="51"/>
        <v>31</v>
      </c>
      <c r="M485" s="190"/>
      <c r="N485" s="196"/>
      <c r="O485" s="197"/>
      <c r="P485" s="198" t="str">
        <f t="shared" si="50"/>
        <v/>
      </c>
    </row>
    <row r="486" spans="2:16" x14ac:dyDescent="0.35">
      <c r="B486" s="190"/>
      <c r="C486" s="190"/>
      <c r="D486" s="190"/>
      <c r="E486" s="275"/>
      <c r="F486" s="192"/>
      <c r="G486" s="190"/>
      <c r="H486" s="193"/>
      <c r="I486" s="276"/>
      <c r="J486" s="194"/>
      <c r="K486" s="195">
        <f t="shared" si="51"/>
        <v>31</v>
      </c>
      <c r="L486" s="195">
        <f t="shared" si="51"/>
        <v>31</v>
      </c>
      <c r="M486" s="190"/>
      <c r="N486" s="196"/>
      <c r="O486" s="197"/>
      <c r="P486" s="198" t="str">
        <f t="shared" si="50"/>
        <v/>
      </c>
    </row>
    <row r="487" spans="2:16" x14ac:dyDescent="0.35">
      <c r="B487" s="190"/>
      <c r="C487" s="190"/>
      <c r="D487" s="190"/>
      <c r="E487" s="275"/>
      <c r="F487" s="192"/>
      <c r="G487" s="190"/>
      <c r="H487" s="193"/>
      <c r="I487" s="276"/>
      <c r="J487" s="194"/>
      <c r="K487" s="195">
        <f t="shared" si="51"/>
        <v>31</v>
      </c>
      <c r="L487" s="195">
        <f t="shared" si="51"/>
        <v>31</v>
      </c>
      <c r="M487" s="190"/>
      <c r="N487" s="196"/>
      <c r="O487" s="197"/>
      <c r="P487" s="198" t="str">
        <f t="shared" si="50"/>
        <v/>
      </c>
    </row>
    <row r="488" spans="2:16" x14ac:dyDescent="0.35">
      <c r="B488" s="190"/>
      <c r="C488" s="190"/>
      <c r="D488" s="190"/>
      <c r="E488" s="275"/>
      <c r="F488" s="192"/>
      <c r="G488" s="190"/>
      <c r="H488" s="193"/>
      <c r="I488" s="276"/>
      <c r="J488" s="194"/>
      <c r="K488" s="195">
        <f t="shared" si="51"/>
        <v>31</v>
      </c>
      <c r="L488" s="195">
        <f t="shared" si="51"/>
        <v>31</v>
      </c>
      <c r="M488" s="190"/>
      <c r="N488" s="196"/>
      <c r="O488" s="197"/>
      <c r="P488" s="198" t="str">
        <f t="shared" si="50"/>
        <v/>
      </c>
    </row>
    <row r="489" spans="2:16" x14ac:dyDescent="0.35">
      <c r="B489" s="190"/>
      <c r="C489" s="190"/>
      <c r="D489" s="190"/>
      <c r="E489" s="275"/>
      <c r="F489" s="192"/>
      <c r="G489" s="190"/>
      <c r="H489" s="193"/>
      <c r="I489" s="276"/>
      <c r="J489" s="194"/>
      <c r="K489" s="195">
        <f t="shared" si="51"/>
        <v>31</v>
      </c>
      <c r="L489" s="195">
        <f t="shared" si="51"/>
        <v>31</v>
      </c>
      <c r="M489" s="190"/>
      <c r="N489" s="196"/>
      <c r="O489" s="197"/>
      <c r="P489" s="198" t="str">
        <f t="shared" si="50"/>
        <v/>
      </c>
    </row>
    <row r="490" spans="2:16" x14ac:dyDescent="0.35">
      <c r="B490" s="190"/>
      <c r="C490" s="190"/>
      <c r="D490" s="190"/>
      <c r="E490" s="275"/>
      <c r="F490" s="192"/>
      <c r="G490" s="190"/>
      <c r="H490" s="193"/>
      <c r="I490" s="276"/>
      <c r="J490" s="194"/>
      <c r="K490" s="195">
        <f t="shared" si="51"/>
        <v>31</v>
      </c>
      <c r="L490" s="195">
        <f t="shared" si="51"/>
        <v>31</v>
      </c>
      <c r="M490" s="190"/>
      <c r="N490" s="196"/>
      <c r="O490" s="197"/>
      <c r="P490" s="198" t="str">
        <f t="shared" si="50"/>
        <v/>
      </c>
    </row>
    <row r="491" spans="2:16" x14ac:dyDescent="0.35">
      <c r="B491" s="190"/>
      <c r="C491" s="190"/>
      <c r="D491" s="190"/>
      <c r="E491" s="275"/>
      <c r="F491" s="192"/>
      <c r="G491" s="190"/>
      <c r="H491" s="193"/>
      <c r="I491" s="276"/>
      <c r="J491" s="194"/>
      <c r="K491" s="195">
        <f t="shared" si="51"/>
        <v>31</v>
      </c>
      <c r="L491" s="195">
        <f t="shared" si="51"/>
        <v>31</v>
      </c>
      <c r="M491" s="190"/>
      <c r="N491" s="196"/>
      <c r="O491" s="197"/>
      <c r="P491" s="198" t="str">
        <f t="shared" si="50"/>
        <v/>
      </c>
    </row>
    <row r="492" spans="2:16" x14ac:dyDescent="0.35">
      <c r="B492" s="190"/>
      <c r="C492" s="190"/>
      <c r="D492" s="190"/>
      <c r="E492" s="275"/>
      <c r="F492" s="192"/>
      <c r="G492" s="190"/>
      <c r="H492" s="193"/>
      <c r="I492" s="276"/>
      <c r="J492" s="194"/>
      <c r="K492" s="195">
        <f t="shared" si="51"/>
        <v>31</v>
      </c>
      <c r="L492" s="195">
        <f t="shared" si="51"/>
        <v>31</v>
      </c>
      <c r="M492" s="190"/>
      <c r="N492" s="196"/>
      <c r="O492" s="197"/>
      <c r="P492" s="198" t="str">
        <f t="shared" si="50"/>
        <v/>
      </c>
    </row>
    <row r="493" spans="2:16" x14ac:dyDescent="0.35">
      <c r="B493" s="190"/>
      <c r="C493" s="190"/>
      <c r="D493" s="190"/>
      <c r="E493" s="275"/>
      <c r="F493" s="192"/>
      <c r="G493" s="190"/>
      <c r="H493" s="193"/>
      <c r="I493" s="276"/>
      <c r="J493" s="194"/>
      <c r="K493" s="195">
        <f t="shared" si="51"/>
        <v>31</v>
      </c>
      <c r="L493" s="195">
        <f t="shared" si="51"/>
        <v>31</v>
      </c>
      <c r="M493" s="190"/>
      <c r="N493" s="196"/>
      <c r="O493" s="197"/>
      <c r="P493" s="198" t="str">
        <f t="shared" si="50"/>
        <v/>
      </c>
    </row>
    <row r="494" spans="2:16" x14ac:dyDescent="0.35">
      <c r="B494" s="190"/>
      <c r="C494" s="190"/>
      <c r="D494" s="190"/>
      <c r="E494" s="275"/>
      <c r="F494" s="192"/>
      <c r="G494" s="190"/>
      <c r="H494" s="193"/>
      <c r="I494" s="276"/>
      <c r="J494" s="194"/>
      <c r="K494" s="195">
        <f t="shared" si="51"/>
        <v>31</v>
      </c>
      <c r="L494" s="195">
        <f t="shared" si="51"/>
        <v>31</v>
      </c>
      <c r="M494" s="190"/>
      <c r="N494" s="196"/>
      <c r="O494" s="197"/>
      <c r="P494" s="198" t="str">
        <f t="shared" si="50"/>
        <v/>
      </c>
    </row>
    <row r="495" spans="2:16" x14ac:dyDescent="0.35">
      <c r="B495" s="190"/>
      <c r="C495" s="190"/>
      <c r="D495" s="190"/>
      <c r="E495" s="275"/>
      <c r="F495" s="192"/>
      <c r="G495" s="190"/>
      <c r="H495" s="193"/>
      <c r="I495" s="276"/>
      <c r="J495" s="194"/>
      <c r="K495" s="195">
        <f t="shared" si="51"/>
        <v>31</v>
      </c>
      <c r="L495" s="195">
        <f t="shared" si="51"/>
        <v>31</v>
      </c>
      <c r="M495" s="190"/>
      <c r="N495" s="196"/>
      <c r="O495" s="197"/>
      <c r="P495" s="198" t="str">
        <f t="shared" si="50"/>
        <v/>
      </c>
    </row>
    <row r="496" spans="2:16" x14ac:dyDescent="0.35">
      <c r="B496" s="190"/>
      <c r="C496" s="190"/>
      <c r="D496" s="190"/>
      <c r="E496" s="275"/>
      <c r="F496" s="192"/>
      <c r="G496" s="190"/>
      <c r="H496" s="193"/>
      <c r="I496" s="276"/>
      <c r="J496" s="194"/>
      <c r="K496" s="195">
        <f t="shared" si="51"/>
        <v>31</v>
      </c>
      <c r="L496" s="195">
        <f t="shared" si="51"/>
        <v>31</v>
      </c>
      <c r="M496" s="190"/>
      <c r="N496" s="196"/>
      <c r="O496" s="197"/>
      <c r="P496" s="198" t="str">
        <f t="shared" si="50"/>
        <v/>
      </c>
    </row>
    <row r="497" spans="2:16" x14ac:dyDescent="0.35">
      <c r="B497" s="190"/>
      <c r="C497" s="190"/>
      <c r="D497" s="190"/>
      <c r="E497" s="275"/>
      <c r="F497" s="192"/>
      <c r="G497" s="190"/>
      <c r="H497" s="193"/>
      <c r="I497" s="276"/>
      <c r="J497" s="194"/>
      <c r="K497" s="195">
        <f t="shared" si="51"/>
        <v>31</v>
      </c>
      <c r="L497" s="195">
        <f t="shared" si="51"/>
        <v>31</v>
      </c>
      <c r="M497" s="190"/>
      <c r="N497" s="196"/>
      <c r="O497" s="197"/>
      <c r="P497" s="198" t="str">
        <f t="shared" si="50"/>
        <v/>
      </c>
    </row>
    <row r="498" spans="2:16" x14ac:dyDescent="0.35">
      <c r="B498" s="190"/>
      <c r="C498" s="190"/>
      <c r="D498" s="190"/>
      <c r="E498" s="275"/>
      <c r="F498" s="192"/>
      <c r="G498" s="190"/>
      <c r="H498" s="193"/>
      <c r="I498" s="276"/>
      <c r="J498" s="194"/>
      <c r="K498" s="195">
        <f t="shared" si="51"/>
        <v>31</v>
      </c>
      <c r="L498" s="195">
        <f t="shared" si="51"/>
        <v>31</v>
      </c>
      <c r="M498" s="190"/>
      <c r="N498" s="196"/>
      <c r="O498" s="197"/>
      <c r="P498" s="198" t="str">
        <f t="shared" si="50"/>
        <v/>
      </c>
    </row>
    <row r="499" spans="2:16" x14ac:dyDescent="0.35">
      <c r="B499" s="190"/>
      <c r="C499" s="190"/>
      <c r="D499" s="190"/>
      <c r="E499" s="275"/>
      <c r="F499" s="192"/>
      <c r="G499" s="190"/>
      <c r="H499" s="193"/>
      <c r="I499" s="276"/>
      <c r="J499" s="194"/>
      <c r="K499" s="195">
        <f t="shared" si="51"/>
        <v>31</v>
      </c>
      <c r="L499" s="195">
        <f t="shared" si="51"/>
        <v>31</v>
      </c>
      <c r="M499" s="190"/>
      <c r="N499" s="196"/>
      <c r="O499" s="197"/>
      <c r="P499" s="198" t="str">
        <f t="shared" si="50"/>
        <v/>
      </c>
    </row>
    <row r="500" spans="2:16" x14ac:dyDescent="0.35">
      <c r="B500" s="190"/>
      <c r="C500" s="190"/>
      <c r="D500" s="190"/>
      <c r="E500" s="275"/>
      <c r="F500" s="192"/>
      <c r="G500" s="190"/>
      <c r="H500" s="193"/>
      <c r="I500" s="276"/>
      <c r="J500" s="194"/>
      <c r="K500" s="195">
        <f t="shared" si="51"/>
        <v>31</v>
      </c>
      <c r="L500" s="195">
        <f t="shared" si="51"/>
        <v>31</v>
      </c>
      <c r="M500" s="190"/>
      <c r="N500" s="196"/>
      <c r="O500" s="197"/>
      <c r="P500" s="198" t="str">
        <f t="shared" si="50"/>
        <v/>
      </c>
    </row>
    <row r="501" spans="2:16" x14ac:dyDescent="0.35">
      <c r="B501" s="190"/>
      <c r="C501" s="190"/>
      <c r="D501" s="190"/>
      <c r="E501" s="275"/>
      <c r="F501" s="192"/>
      <c r="G501" s="190"/>
      <c r="H501" s="193"/>
      <c r="I501" s="276"/>
      <c r="J501" s="194"/>
      <c r="K501" s="195">
        <f t="shared" si="51"/>
        <v>31</v>
      </c>
      <c r="L501" s="195">
        <f t="shared" si="51"/>
        <v>31</v>
      </c>
      <c r="M501" s="190"/>
      <c r="N501" s="196"/>
      <c r="O501" s="197"/>
      <c r="P501" s="198" t="str">
        <f t="shared" si="50"/>
        <v/>
      </c>
    </row>
    <row r="502" spans="2:16" x14ac:dyDescent="0.35">
      <c r="B502" s="190"/>
      <c r="C502" s="190"/>
      <c r="D502" s="190"/>
      <c r="E502" s="275"/>
      <c r="F502" s="192"/>
      <c r="G502" s="190"/>
      <c r="H502" s="193"/>
      <c r="I502" s="276"/>
      <c r="J502" s="194"/>
      <c r="K502" s="195">
        <f t="shared" si="51"/>
        <v>31</v>
      </c>
      <c r="L502" s="195">
        <f t="shared" si="51"/>
        <v>31</v>
      </c>
      <c r="M502" s="190"/>
      <c r="N502" s="196"/>
      <c r="O502" s="197"/>
      <c r="P502" s="198" t="str">
        <f t="shared" si="50"/>
        <v/>
      </c>
    </row>
    <row r="503" spans="2:16" x14ac:dyDescent="0.35">
      <c r="B503" s="190"/>
      <c r="C503" s="190"/>
      <c r="D503" s="190"/>
      <c r="E503" s="275"/>
      <c r="F503" s="192"/>
      <c r="G503" s="190"/>
      <c r="H503" s="193"/>
      <c r="I503" s="276"/>
      <c r="J503" s="194"/>
      <c r="K503" s="195">
        <f t="shared" si="51"/>
        <v>31</v>
      </c>
      <c r="L503" s="195">
        <f t="shared" si="51"/>
        <v>31</v>
      </c>
      <c r="M503" s="190"/>
      <c r="N503" s="196"/>
      <c r="O503" s="197"/>
      <c r="P503" s="198" t="str">
        <f t="shared" si="50"/>
        <v/>
      </c>
    </row>
    <row r="504" spans="2:16" x14ac:dyDescent="0.35">
      <c r="B504" s="190"/>
      <c r="C504" s="190"/>
      <c r="D504" s="190"/>
      <c r="E504" s="275"/>
      <c r="F504" s="192"/>
      <c r="G504" s="190"/>
      <c r="H504" s="193"/>
      <c r="I504" s="276"/>
      <c r="J504" s="194"/>
      <c r="K504" s="195">
        <f t="shared" si="51"/>
        <v>31</v>
      </c>
      <c r="L504" s="195">
        <f t="shared" si="51"/>
        <v>31</v>
      </c>
      <c r="M504" s="190"/>
      <c r="N504" s="196"/>
      <c r="O504" s="197"/>
      <c r="P504" s="198" t="str">
        <f t="shared" si="50"/>
        <v/>
      </c>
    </row>
    <row r="505" spans="2:16" x14ac:dyDescent="0.35">
      <c r="B505" s="190"/>
      <c r="C505" s="190"/>
      <c r="D505" s="190"/>
      <c r="E505" s="275"/>
      <c r="F505" s="192"/>
      <c r="G505" s="190"/>
      <c r="H505" s="193"/>
      <c r="I505" s="276"/>
      <c r="J505" s="194"/>
      <c r="K505" s="195">
        <f t="shared" si="51"/>
        <v>31</v>
      </c>
      <c r="L505" s="195">
        <f t="shared" si="51"/>
        <v>31</v>
      </c>
      <c r="M505" s="190"/>
      <c r="N505" s="196"/>
      <c r="O505" s="197"/>
      <c r="P505" s="198" t="str">
        <f t="shared" si="50"/>
        <v/>
      </c>
    </row>
    <row r="506" spans="2:16" x14ac:dyDescent="0.35">
      <c r="B506" s="190"/>
      <c r="C506" s="190"/>
      <c r="D506" s="190"/>
      <c r="E506" s="275"/>
      <c r="F506" s="192"/>
      <c r="G506" s="190"/>
      <c r="H506" s="193"/>
      <c r="I506" s="276"/>
      <c r="J506" s="194"/>
      <c r="K506" s="195">
        <f t="shared" si="51"/>
        <v>31</v>
      </c>
      <c r="L506" s="195">
        <f t="shared" si="51"/>
        <v>31</v>
      </c>
      <c r="M506" s="190"/>
      <c r="N506" s="196"/>
      <c r="O506" s="197"/>
      <c r="P506" s="198" t="str">
        <f t="shared" si="50"/>
        <v/>
      </c>
    </row>
    <row r="507" spans="2:16" x14ac:dyDescent="0.35">
      <c r="B507" s="190"/>
      <c r="C507" s="190"/>
      <c r="D507" s="190"/>
      <c r="E507" s="275"/>
      <c r="F507" s="192"/>
      <c r="G507" s="190"/>
      <c r="H507" s="193"/>
      <c r="I507" s="276"/>
      <c r="J507" s="194"/>
      <c r="K507" s="195">
        <f t="shared" si="51"/>
        <v>31</v>
      </c>
      <c r="L507" s="195">
        <f t="shared" si="51"/>
        <v>31</v>
      </c>
      <c r="M507" s="190"/>
      <c r="N507" s="196"/>
      <c r="O507" s="197"/>
      <c r="P507" s="198" t="str">
        <f t="shared" si="50"/>
        <v/>
      </c>
    </row>
    <row r="508" spans="2:16" x14ac:dyDescent="0.35">
      <c r="B508" s="190"/>
      <c r="C508" s="190"/>
      <c r="D508" s="190"/>
      <c r="E508" s="275"/>
      <c r="F508" s="192"/>
      <c r="G508" s="190"/>
      <c r="H508" s="193"/>
      <c r="I508" s="276"/>
      <c r="J508" s="194"/>
      <c r="K508" s="195">
        <f t="shared" si="51"/>
        <v>31</v>
      </c>
      <c r="L508" s="195">
        <f t="shared" si="51"/>
        <v>31</v>
      </c>
      <c r="M508" s="190"/>
      <c r="N508" s="196"/>
      <c r="O508" s="197"/>
      <c r="P508" s="198" t="str">
        <f t="shared" si="50"/>
        <v/>
      </c>
    </row>
    <row r="509" spans="2:16" x14ac:dyDescent="0.35">
      <c r="B509" s="190"/>
      <c r="C509" s="190"/>
      <c r="D509" s="190"/>
      <c r="E509" s="275"/>
      <c r="F509" s="192"/>
      <c r="G509" s="190"/>
      <c r="H509" s="193"/>
      <c r="I509" s="276"/>
      <c r="J509" s="194"/>
      <c r="K509" s="195">
        <f t="shared" si="51"/>
        <v>31</v>
      </c>
      <c r="L509" s="195">
        <f t="shared" si="51"/>
        <v>31</v>
      </c>
      <c r="M509" s="190"/>
      <c r="N509" s="196"/>
      <c r="O509" s="197"/>
      <c r="P509" s="198" t="str">
        <f t="shared" si="50"/>
        <v/>
      </c>
    </row>
    <row r="510" spans="2:16" x14ac:dyDescent="0.35">
      <c r="B510" s="190"/>
      <c r="C510" s="190"/>
      <c r="D510" s="190"/>
      <c r="E510" s="275"/>
      <c r="F510" s="192"/>
      <c r="G510" s="190"/>
      <c r="H510" s="193"/>
      <c r="I510" s="276"/>
      <c r="J510" s="194"/>
      <c r="K510" s="195">
        <f t="shared" si="51"/>
        <v>31</v>
      </c>
      <c r="L510" s="195">
        <f t="shared" si="51"/>
        <v>31</v>
      </c>
      <c r="M510" s="190"/>
      <c r="N510" s="196"/>
      <c r="O510" s="197"/>
      <c r="P510" s="198" t="str">
        <f t="shared" si="50"/>
        <v/>
      </c>
    </row>
    <row r="511" spans="2:16" x14ac:dyDescent="0.35">
      <c r="B511" s="190"/>
      <c r="C511" s="190"/>
      <c r="D511" s="190"/>
      <c r="E511" s="275"/>
      <c r="F511" s="192"/>
      <c r="G511" s="190"/>
      <c r="H511" s="193"/>
      <c r="I511" s="276"/>
      <c r="J511" s="194"/>
      <c r="K511" s="195">
        <f t="shared" si="51"/>
        <v>31</v>
      </c>
      <c r="L511" s="195">
        <f t="shared" si="51"/>
        <v>31</v>
      </c>
      <c r="M511" s="190"/>
      <c r="N511" s="196"/>
      <c r="O511" s="197"/>
      <c r="P511" s="198" t="str">
        <f t="shared" si="50"/>
        <v/>
      </c>
    </row>
    <row r="512" spans="2:16" x14ac:dyDescent="0.35">
      <c r="B512" s="190"/>
      <c r="C512" s="190"/>
      <c r="D512" s="190"/>
      <c r="E512" s="275"/>
      <c r="F512" s="192"/>
      <c r="G512" s="190"/>
      <c r="H512" s="193"/>
      <c r="I512" s="276"/>
      <c r="J512" s="194"/>
      <c r="K512" s="195">
        <f t="shared" si="51"/>
        <v>31</v>
      </c>
      <c r="L512" s="195">
        <f t="shared" si="51"/>
        <v>31</v>
      </c>
      <c r="M512" s="190"/>
      <c r="N512" s="196"/>
      <c r="O512" s="197"/>
      <c r="P512" s="198" t="str">
        <f t="shared" si="50"/>
        <v/>
      </c>
    </row>
    <row r="513" spans="2:16" x14ac:dyDescent="0.35">
      <c r="B513" s="190"/>
      <c r="C513" s="190"/>
      <c r="D513" s="190"/>
      <c r="E513" s="275"/>
      <c r="F513" s="192"/>
      <c r="G513" s="190"/>
      <c r="H513" s="193"/>
      <c r="I513" s="276"/>
      <c r="J513" s="194"/>
      <c r="K513" s="195">
        <f t="shared" si="51"/>
        <v>31</v>
      </c>
      <c r="L513" s="195">
        <f t="shared" si="51"/>
        <v>31</v>
      </c>
      <c r="M513" s="190"/>
      <c r="N513" s="196"/>
      <c r="O513" s="197"/>
      <c r="P513" s="198" t="str">
        <f t="shared" si="50"/>
        <v/>
      </c>
    </row>
    <row r="514" spans="2:16" x14ac:dyDescent="0.35">
      <c r="B514" s="190"/>
      <c r="C514" s="190"/>
      <c r="D514" s="190"/>
      <c r="E514" s="275"/>
      <c r="F514" s="192"/>
      <c r="G514" s="190"/>
      <c r="H514" s="193"/>
      <c r="I514" s="276"/>
      <c r="J514" s="194"/>
      <c r="K514" s="195">
        <f t="shared" si="51"/>
        <v>31</v>
      </c>
      <c r="L514" s="195">
        <f t="shared" si="51"/>
        <v>31</v>
      </c>
      <c r="M514" s="190"/>
      <c r="N514" s="196"/>
      <c r="O514" s="197"/>
      <c r="P514" s="198" t="str">
        <f t="shared" si="50"/>
        <v/>
      </c>
    </row>
    <row r="515" spans="2:16" x14ac:dyDescent="0.35">
      <c r="B515" s="190"/>
      <c r="C515" s="190"/>
      <c r="D515" s="190"/>
      <c r="E515" s="275"/>
      <c r="F515" s="192"/>
      <c r="G515" s="190"/>
      <c r="H515" s="193"/>
      <c r="I515" s="276"/>
      <c r="J515" s="194"/>
      <c r="K515" s="195">
        <f t="shared" si="51"/>
        <v>31</v>
      </c>
      <c r="L515" s="195">
        <f t="shared" si="51"/>
        <v>31</v>
      </c>
      <c r="M515" s="190"/>
      <c r="N515" s="196"/>
      <c r="O515" s="197"/>
      <c r="P515" s="198" t="str">
        <f t="shared" si="50"/>
        <v/>
      </c>
    </row>
    <row r="516" spans="2:16" x14ac:dyDescent="0.35">
      <c r="B516" s="190"/>
      <c r="C516" s="190"/>
      <c r="D516" s="190"/>
      <c r="E516" s="275"/>
      <c r="F516" s="192"/>
      <c r="G516" s="190"/>
      <c r="H516" s="193"/>
      <c r="I516" s="276"/>
      <c r="J516" s="194"/>
      <c r="K516" s="195">
        <f t="shared" si="51"/>
        <v>31</v>
      </c>
      <c r="L516" s="195">
        <f t="shared" si="51"/>
        <v>31</v>
      </c>
      <c r="M516" s="190"/>
      <c r="N516" s="196"/>
      <c r="O516" s="197"/>
      <c r="P516" s="198" t="str">
        <f t="shared" si="50"/>
        <v/>
      </c>
    </row>
    <row r="517" spans="2:16" x14ac:dyDescent="0.35">
      <c r="B517" s="190"/>
      <c r="C517" s="190"/>
      <c r="D517" s="190"/>
      <c r="E517" s="275"/>
      <c r="F517" s="192"/>
      <c r="G517" s="190"/>
      <c r="H517" s="193"/>
      <c r="I517" s="276"/>
      <c r="J517" s="194"/>
      <c r="K517" s="195">
        <f t="shared" si="51"/>
        <v>31</v>
      </c>
      <c r="L517" s="195">
        <f t="shared" si="51"/>
        <v>31</v>
      </c>
      <c r="M517" s="190"/>
      <c r="N517" s="196"/>
      <c r="O517" s="197"/>
      <c r="P517" s="198" t="str">
        <f t="shared" si="50"/>
        <v/>
      </c>
    </row>
    <row r="518" spans="2:16" x14ac:dyDescent="0.35">
      <c r="B518" s="190"/>
      <c r="C518" s="190"/>
      <c r="D518" s="190"/>
      <c r="E518" s="275"/>
      <c r="F518" s="192"/>
      <c r="G518" s="190"/>
      <c r="H518" s="193"/>
      <c r="I518" s="276"/>
      <c r="J518" s="194"/>
      <c r="K518" s="195">
        <f t="shared" si="51"/>
        <v>31</v>
      </c>
      <c r="L518" s="195">
        <f t="shared" si="51"/>
        <v>31</v>
      </c>
      <c r="M518" s="190"/>
      <c r="N518" s="196"/>
      <c r="O518" s="197"/>
      <c r="P518" s="198" t="str">
        <f t="shared" si="50"/>
        <v/>
      </c>
    </row>
    <row r="519" spans="2:16" x14ac:dyDescent="0.35">
      <c r="B519" s="190"/>
      <c r="C519" s="190"/>
      <c r="D519" s="190"/>
      <c r="E519" s="275"/>
      <c r="F519" s="192"/>
      <c r="G519" s="190"/>
      <c r="H519" s="193"/>
      <c r="I519" s="276"/>
      <c r="J519" s="194"/>
      <c r="K519" s="195">
        <f t="shared" si="51"/>
        <v>31</v>
      </c>
      <c r="L519" s="195">
        <f t="shared" si="51"/>
        <v>31</v>
      </c>
      <c r="M519" s="190"/>
      <c r="N519" s="196"/>
      <c r="O519" s="197"/>
      <c r="P519" s="198" t="str">
        <f t="shared" si="50"/>
        <v/>
      </c>
    </row>
    <row r="520" spans="2:16" x14ac:dyDescent="0.35">
      <c r="B520" s="190"/>
      <c r="C520" s="190"/>
      <c r="D520" s="190"/>
      <c r="E520" s="275"/>
      <c r="F520" s="192"/>
      <c r="G520" s="190"/>
      <c r="H520" s="193"/>
      <c r="I520" s="276"/>
      <c r="J520" s="194"/>
      <c r="K520" s="195">
        <f t="shared" si="51"/>
        <v>31</v>
      </c>
      <c r="L520" s="195">
        <f t="shared" si="51"/>
        <v>31</v>
      </c>
      <c r="M520" s="190"/>
      <c r="N520" s="196"/>
      <c r="O520" s="197"/>
      <c r="P520" s="198" t="str">
        <f t="shared" ref="P520:P583" si="52">IF(H520="","",IF(($C$5-H520)/365&gt;1.5,"Renewed Lease","New Lease"))</f>
        <v/>
      </c>
    </row>
    <row r="521" spans="2:16" x14ac:dyDescent="0.35">
      <c r="B521" s="190"/>
      <c r="C521" s="190"/>
      <c r="D521" s="190"/>
      <c r="E521" s="275"/>
      <c r="F521" s="192"/>
      <c r="G521" s="190"/>
      <c r="H521" s="193"/>
      <c r="I521" s="276"/>
      <c r="J521" s="194"/>
      <c r="K521" s="195">
        <f t="shared" si="51"/>
        <v>31</v>
      </c>
      <c r="L521" s="195">
        <f t="shared" si="51"/>
        <v>31</v>
      </c>
      <c r="M521" s="190"/>
      <c r="N521" s="196"/>
      <c r="O521" s="197"/>
      <c r="P521" s="198" t="str">
        <f t="shared" si="52"/>
        <v/>
      </c>
    </row>
    <row r="522" spans="2:16" x14ac:dyDescent="0.35">
      <c r="B522" s="190"/>
      <c r="C522" s="190"/>
      <c r="D522" s="190"/>
      <c r="E522" s="275"/>
      <c r="F522" s="192"/>
      <c r="G522" s="190"/>
      <c r="H522" s="193"/>
      <c r="I522" s="276"/>
      <c r="J522" s="194"/>
      <c r="K522" s="195">
        <f t="shared" si="51"/>
        <v>31</v>
      </c>
      <c r="L522" s="195">
        <f t="shared" si="51"/>
        <v>31</v>
      </c>
      <c r="M522" s="190"/>
      <c r="N522" s="196"/>
      <c r="O522" s="197"/>
      <c r="P522" s="198" t="str">
        <f t="shared" si="52"/>
        <v/>
      </c>
    </row>
    <row r="523" spans="2:16" x14ac:dyDescent="0.35">
      <c r="B523" s="190"/>
      <c r="C523" s="190"/>
      <c r="D523" s="190"/>
      <c r="E523" s="275"/>
      <c r="F523" s="192"/>
      <c r="G523" s="190"/>
      <c r="H523" s="193"/>
      <c r="I523" s="276"/>
      <c r="J523" s="194"/>
      <c r="K523" s="195">
        <f t="shared" si="51"/>
        <v>31</v>
      </c>
      <c r="L523" s="195">
        <f t="shared" si="51"/>
        <v>31</v>
      </c>
      <c r="M523" s="190"/>
      <c r="N523" s="196"/>
      <c r="O523" s="197"/>
      <c r="P523" s="198" t="str">
        <f t="shared" si="52"/>
        <v/>
      </c>
    </row>
    <row r="524" spans="2:16" x14ac:dyDescent="0.35">
      <c r="B524" s="190"/>
      <c r="C524" s="190"/>
      <c r="D524" s="190"/>
      <c r="E524" s="275"/>
      <c r="F524" s="192"/>
      <c r="G524" s="190"/>
      <c r="H524" s="193"/>
      <c r="I524" s="276"/>
      <c r="J524" s="194"/>
      <c r="K524" s="195">
        <f t="shared" si="51"/>
        <v>31</v>
      </c>
      <c r="L524" s="195">
        <f t="shared" si="51"/>
        <v>31</v>
      </c>
      <c r="M524" s="190"/>
      <c r="N524" s="196"/>
      <c r="O524" s="197"/>
      <c r="P524" s="198" t="str">
        <f t="shared" si="52"/>
        <v/>
      </c>
    </row>
    <row r="525" spans="2:16" x14ac:dyDescent="0.35">
      <c r="B525" s="190"/>
      <c r="C525" s="190"/>
      <c r="D525" s="190"/>
      <c r="E525" s="275"/>
      <c r="F525" s="192"/>
      <c r="G525" s="190"/>
      <c r="H525" s="193"/>
      <c r="I525" s="276"/>
      <c r="J525" s="194"/>
      <c r="K525" s="195">
        <f t="shared" si="51"/>
        <v>31</v>
      </c>
      <c r="L525" s="195">
        <f t="shared" si="51"/>
        <v>31</v>
      </c>
      <c r="M525" s="190"/>
      <c r="N525" s="196"/>
      <c r="O525" s="197"/>
      <c r="P525" s="198" t="str">
        <f t="shared" si="52"/>
        <v/>
      </c>
    </row>
    <row r="526" spans="2:16" x14ac:dyDescent="0.35">
      <c r="B526" s="190"/>
      <c r="C526" s="190"/>
      <c r="D526" s="190"/>
      <c r="E526" s="275"/>
      <c r="F526" s="192"/>
      <c r="G526" s="190"/>
      <c r="H526" s="193"/>
      <c r="I526" s="276"/>
      <c r="J526" s="194"/>
      <c r="K526" s="195">
        <f t="shared" si="51"/>
        <v>31</v>
      </c>
      <c r="L526" s="195">
        <f t="shared" si="51"/>
        <v>31</v>
      </c>
      <c r="M526" s="190"/>
      <c r="N526" s="196"/>
      <c r="O526" s="197"/>
      <c r="P526" s="198" t="str">
        <f t="shared" si="52"/>
        <v/>
      </c>
    </row>
    <row r="527" spans="2:16" x14ac:dyDescent="0.35">
      <c r="B527" s="190"/>
      <c r="C527" s="190"/>
      <c r="D527" s="190"/>
      <c r="E527" s="275"/>
      <c r="F527" s="192"/>
      <c r="G527" s="190"/>
      <c r="H527" s="193"/>
      <c r="I527" s="276"/>
      <c r="J527" s="194"/>
      <c r="K527" s="195">
        <f t="shared" si="51"/>
        <v>31</v>
      </c>
      <c r="L527" s="195">
        <f t="shared" si="51"/>
        <v>31</v>
      </c>
      <c r="M527" s="190"/>
      <c r="N527" s="196"/>
      <c r="O527" s="197"/>
      <c r="P527" s="198" t="str">
        <f t="shared" si="52"/>
        <v/>
      </c>
    </row>
    <row r="528" spans="2:16" x14ac:dyDescent="0.35">
      <c r="B528" s="190"/>
      <c r="C528" s="190"/>
      <c r="D528" s="190"/>
      <c r="E528" s="275"/>
      <c r="F528" s="192"/>
      <c r="G528" s="190"/>
      <c r="H528" s="193"/>
      <c r="I528" s="276"/>
      <c r="J528" s="194"/>
      <c r="K528" s="195">
        <f t="shared" si="51"/>
        <v>31</v>
      </c>
      <c r="L528" s="195">
        <f t="shared" si="51"/>
        <v>31</v>
      </c>
      <c r="M528" s="190"/>
      <c r="N528" s="196"/>
      <c r="O528" s="197"/>
      <c r="P528" s="198" t="str">
        <f t="shared" si="52"/>
        <v/>
      </c>
    </row>
    <row r="529" spans="2:16" x14ac:dyDescent="0.35">
      <c r="B529" s="190"/>
      <c r="C529" s="190"/>
      <c r="D529" s="190"/>
      <c r="E529" s="275"/>
      <c r="F529" s="192"/>
      <c r="G529" s="190"/>
      <c r="H529" s="193"/>
      <c r="I529" s="276"/>
      <c r="J529" s="194"/>
      <c r="K529" s="195">
        <f t="shared" ref="K529:L592" si="53">EOMONTH(I529,0)</f>
        <v>31</v>
      </c>
      <c r="L529" s="195">
        <f t="shared" si="53"/>
        <v>31</v>
      </c>
      <c r="M529" s="190"/>
      <c r="N529" s="196"/>
      <c r="O529" s="197"/>
      <c r="P529" s="198" t="str">
        <f t="shared" si="52"/>
        <v/>
      </c>
    </row>
    <row r="530" spans="2:16" x14ac:dyDescent="0.35">
      <c r="B530" s="190"/>
      <c r="C530" s="190"/>
      <c r="D530" s="190"/>
      <c r="E530" s="275"/>
      <c r="F530" s="192"/>
      <c r="G530" s="190"/>
      <c r="H530" s="193"/>
      <c r="I530" s="276"/>
      <c r="J530" s="194"/>
      <c r="K530" s="195">
        <f t="shared" si="53"/>
        <v>31</v>
      </c>
      <c r="L530" s="195">
        <f t="shared" si="53"/>
        <v>31</v>
      </c>
      <c r="M530" s="190"/>
      <c r="N530" s="196"/>
      <c r="O530" s="197"/>
      <c r="P530" s="198" t="str">
        <f t="shared" si="52"/>
        <v/>
      </c>
    </row>
    <row r="531" spans="2:16" x14ac:dyDescent="0.35">
      <c r="B531" s="190"/>
      <c r="C531" s="190"/>
      <c r="D531" s="190"/>
      <c r="E531" s="275"/>
      <c r="F531" s="192"/>
      <c r="G531" s="190"/>
      <c r="H531" s="193"/>
      <c r="I531" s="276"/>
      <c r="J531" s="194"/>
      <c r="K531" s="195">
        <f t="shared" si="53"/>
        <v>31</v>
      </c>
      <c r="L531" s="195">
        <f t="shared" si="53"/>
        <v>31</v>
      </c>
      <c r="M531" s="190"/>
      <c r="N531" s="196"/>
      <c r="O531" s="197"/>
      <c r="P531" s="198" t="str">
        <f t="shared" si="52"/>
        <v/>
      </c>
    </row>
    <row r="532" spans="2:16" x14ac:dyDescent="0.35">
      <c r="B532" s="190"/>
      <c r="C532" s="190"/>
      <c r="D532" s="190"/>
      <c r="E532" s="275"/>
      <c r="F532" s="192"/>
      <c r="G532" s="190"/>
      <c r="H532" s="193"/>
      <c r="I532" s="276"/>
      <c r="J532" s="194"/>
      <c r="K532" s="195">
        <f t="shared" si="53"/>
        <v>31</v>
      </c>
      <c r="L532" s="195">
        <f t="shared" si="53"/>
        <v>31</v>
      </c>
      <c r="M532" s="190"/>
      <c r="N532" s="196"/>
      <c r="O532" s="197"/>
      <c r="P532" s="198" t="str">
        <f t="shared" si="52"/>
        <v/>
      </c>
    </row>
    <row r="533" spans="2:16" x14ac:dyDescent="0.35">
      <c r="B533" s="190"/>
      <c r="C533" s="190"/>
      <c r="D533" s="190"/>
      <c r="E533" s="275"/>
      <c r="F533" s="192"/>
      <c r="G533" s="190"/>
      <c r="H533" s="193"/>
      <c r="I533" s="276"/>
      <c r="J533" s="194"/>
      <c r="K533" s="195">
        <f t="shared" si="53"/>
        <v>31</v>
      </c>
      <c r="L533" s="195">
        <f t="shared" si="53"/>
        <v>31</v>
      </c>
      <c r="M533" s="190"/>
      <c r="N533" s="196"/>
      <c r="O533" s="197"/>
      <c r="P533" s="198" t="str">
        <f t="shared" si="52"/>
        <v/>
      </c>
    </row>
    <row r="534" spans="2:16" x14ac:dyDescent="0.35">
      <c r="B534" s="190"/>
      <c r="C534" s="190"/>
      <c r="D534" s="190"/>
      <c r="E534" s="275"/>
      <c r="F534" s="192"/>
      <c r="G534" s="190"/>
      <c r="H534" s="193"/>
      <c r="I534" s="276"/>
      <c r="J534" s="194"/>
      <c r="K534" s="195">
        <f t="shared" si="53"/>
        <v>31</v>
      </c>
      <c r="L534" s="195">
        <f t="shared" si="53"/>
        <v>31</v>
      </c>
      <c r="M534" s="190"/>
      <c r="N534" s="196"/>
      <c r="O534" s="197"/>
      <c r="P534" s="198" t="str">
        <f t="shared" si="52"/>
        <v/>
      </c>
    </row>
    <row r="535" spans="2:16" x14ac:dyDescent="0.35">
      <c r="B535" s="190"/>
      <c r="C535" s="190"/>
      <c r="D535" s="190"/>
      <c r="E535" s="275"/>
      <c r="F535" s="192"/>
      <c r="G535" s="190"/>
      <c r="H535" s="193"/>
      <c r="I535" s="276"/>
      <c r="J535" s="194"/>
      <c r="K535" s="195">
        <f t="shared" si="53"/>
        <v>31</v>
      </c>
      <c r="L535" s="195">
        <f t="shared" si="53"/>
        <v>31</v>
      </c>
      <c r="M535" s="190"/>
      <c r="N535" s="196"/>
      <c r="O535" s="197"/>
      <c r="P535" s="198" t="str">
        <f t="shared" si="52"/>
        <v/>
      </c>
    </row>
    <row r="536" spans="2:16" x14ac:dyDescent="0.35">
      <c r="B536" s="190"/>
      <c r="C536" s="190"/>
      <c r="D536" s="190"/>
      <c r="E536" s="275"/>
      <c r="F536" s="192"/>
      <c r="G536" s="190"/>
      <c r="H536" s="193"/>
      <c r="I536" s="276"/>
      <c r="J536" s="194"/>
      <c r="K536" s="195">
        <f t="shared" si="53"/>
        <v>31</v>
      </c>
      <c r="L536" s="195">
        <f t="shared" si="53"/>
        <v>31</v>
      </c>
      <c r="M536" s="190"/>
      <c r="N536" s="196"/>
      <c r="O536" s="197"/>
      <c r="P536" s="198" t="str">
        <f t="shared" si="52"/>
        <v/>
      </c>
    </row>
    <row r="537" spans="2:16" x14ac:dyDescent="0.35">
      <c r="B537" s="190"/>
      <c r="C537" s="190"/>
      <c r="D537" s="190"/>
      <c r="E537" s="275"/>
      <c r="F537" s="192"/>
      <c r="G537" s="190"/>
      <c r="H537" s="193"/>
      <c r="I537" s="276"/>
      <c r="J537" s="194"/>
      <c r="K537" s="195">
        <f t="shared" si="53"/>
        <v>31</v>
      </c>
      <c r="L537" s="195">
        <f t="shared" si="53"/>
        <v>31</v>
      </c>
      <c r="M537" s="190"/>
      <c r="N537" s="196"/>
      <c r="O537" s="197"/>
      <c r="P537" s="198" t="str">
        <f t="shared" si="52"/>
        <v/>
      </c>
    </row>
    <row r="538" spans="2:16" x14ac:dyDescent="0.35">
      <c r="B538" s="190"/>
      <c r="C538" s="190"/>
      <c r="D538" s="190"/>
      <c r="E538" s="275"/>
      <c r="F538" s="192"/>
      <c r="G538" s="190"/>
      <c r="H538" s="193"/>
      <c r="I538" s="276"/>
      <c r="J538" s="194"/>
      <c r="K538" s="195">
        <f t="shared" si="53"/>
        <v>31</v>
      </c>
      <c r="L538" s="195">
        <f t="shared" si="53"/>
        <v>31</v>
      </c>
      <c r="M538" s="190"/>
      <c r="N538" s="196"/>
      <c r="O538" s="197"/>
      <c r="P538" s="198" t="str">
        <f t="shared" si="52"/>
        <v/>
      </c>
    </row>
    <row r="539" spans="2:16" x14ac:dyDescent="0.35">
      <c r="B539" s="190"/>
      <c r="C539" s="190"/>
      <c r="D539" s="190"/>
      <c r="E539" s="275"/>
      <c r="F539" s="192"/>
      <c r="G539" s="190"/>
      <c r="H539" s="193"/>
      <c r="I539" s="276"/>
      <c r="J539" s="194"/>
      <c r="K539" s="195">
        <f t="shared" si="53"/>
        <v>31</v>
      </c>
      <c r="L539" s="195">
        <f t="shared" si="53"/>
        <v>31</v>
      </c>
      <c r="M539" s="190"/>
      <c r="N539" s="196"/>
      <c r="O539" s="197"/>
      <c r="P539" s="198" t="str">
        <f t="shared" si="52"/>
        <v/>
      </c>
    </row>
    <row r="540" spans="2:16" x14ac:dyDescent="0.35">
      <c r="B540" s="190"/>
      <c r="C540" s="190"/>
      <c r="D540" s="190"/>
      <c r="E540" s="275"/>
      <c r="F540" s="192"/>
      <c r="G540" s="190"/>
      <c r="H540" s="193"/>
      <c r="I540" s="276"/>
      <c r="J540" s="194"/>
      <c r="K540" s="195">
        <f t="shared" si="53"/>
        <v>31</v>
      </c>
      <c r="L540" s="195">
        <f t="shared" si="53"/>
        <v>31</v>
      </c>
      <c r="M540" s="190"/>
      <c r="N540" s="196"/>
      <c r="O540" s="197"/>
      <c r="P540" s="198" t="str">
        <f t="shared" si="52"/>
        <v/>
      </c>
    </row>
    <row r="541" spans="2:16" x14ac:dyDescent="0.35">
      <c r="B541" s="190"/>
      <c r="C541" s="190"/>
      <c r="D541" s="190"/>
      <c r="E541" s="275"/>
      <c r="F541" s="192"/>
      <c r="G541" s="190"/>
      <c r="H541" s="193"/>
      <c r="I541" s="276"/>
      <c r="J541" s="194"/>
      <c r="K541" s="195">
        <f t="shared" si="53"/>
        <v>31</v>
      </c>
      <c r="L541" s="195">
        <f t="shared" si="53"/>
        <v>31</v>
      </c>
      <c r="M541" s="190"/>
      <c r="N541" s="196"/>
      <c r="O541" s="197"/>
      <c r="P541" s="198" t="str">
        <f t="shared" si="52"/>
        <v/>
      </c>
    </row>
    <row r="542" spans="2:16" x14ac:dyDescent="0.35">
      <c r="B542" s="190"/>
      <c r="C542" s="190"/>
      <c r="D542" s="190"/>
      <c r="E542" s="275"/>
      <c r="F542" s="192"/>
      <c r="G542" s="190"/>
      <c r="H542" s="193"/>
      <c r="I542" s="276"/>
      <c r="J542" s="194"/>
      <c r="K542" s="195">
        <f t="shared" si="53"/>
        <v>31</v>
      </c>
      <c r="L542" s="195">
        <f t="shared" si="53"/>
        <v>31</v>
      </c>
      <c r="M542" s="190"/>
      <c r="N542" s="196"/>
      <c r="O542" s="197"/>
      <c r="P542" s="198" t="str">
        <f t="shared" si="52"/>
        <v/>
      </c>
    </row>
    <row r="543" spans="2:16" x14ac:dyDescent="0.35">
      <c r="B543" s="190"/>
      <c r="C543" s="190"/>
      <c r="D543" s="190"/>
      <c r="E543" s="275"/>
      <c r="F543" s="192"/>
      <c r="G543" s="190"/>
      <c r="H543" s="193"/>
      <c r="I543" s="276"/>
      <c r="J543" s="194"/>
      <c r="K543" s="195">
        <f t="shared" si="53"/>
        <v>31</v>
      </c>
      <c r="L543" s="195">
        <f t="shared" si="53"/>
        <v>31</v>
      </c>
      <c r="M543" s="190"/>
      <c r="N543" s="196"/>
      <c r="O543" s="197"/>
      <c r="P543" s="198" t="str">
        <f t="shared" si="52"/>
        <v/>
      </c>
    </row>
    <row r="544" spans="2:16" x14ac:dyDescent="0.35">
      <c r="B544" s="190"/>
      <c r="C544" s="190"/>
      <c r="D544" s="190"/>
      <c r="E544" s="275"/>
      <c r="F544" s="192"/>
      <c r="G544" s="190"/>
      <c r="H544" s="193"/>
      <c r="I544" s="276"/>
      <c r="J544" s="194"/>
      <c r="K544" s="195">
        <f t="shared" si="53"/>
        <v>31</v>
      </c>
      <c r="L544" s="195">
        <f t="shared" si="53"/>
        <v>31</v>
      </c>
      <c r="M544" s="190"/>
      <c r="N544" s="196"/>
      <c r="O544" s="197"/>
      <c r="P544" s="198" t="str">
        <f t="shared" si="52"/>
        <v/>
      </c>
    </row>
    <row r="545" spans="2:16" x14ac:dyDescent="0.35">
      <c r="B545" s="190"/>
      <c r="C545" s="190"/>
      <c r="D545" s="190"/>
      <c r="E545" s="275"/>
      <c r="F545" s="192"/>
      <c r="G545" s="190"/>
      <c r="H545" s="193"/>
      <c r="I545" s="276"/>
      <c r="J545" s="194"/>
      <c r="K545" s="195">
        <f t="shared" si="53"/>
        <v>31</v>
      </c>
      <c r="L545" s="195">
        <f t="shared" si="53"/>
        <v>31</v>
      </c>
      <c r="M545" s="190"/>
      <c r="N545" s="196"/>
      <c r="O545" s="197"/>
      <c r="P545" s="198" t="str">
        <f t="shared" si="52"/>
        <v/>
      </c>
    </row>
    <row r="546" spans="2:16" x14ac:dyDescent="0.35">
      <c r="B546" s="190"/>
      <c r="C546" s="190"/>
      <c r="D546" s="190"/>
      <c r="E546" s="275"/>
      <c r="F546" s="192"/>
      <c r="G546" s="190"/>
      <c r="H546" s="193"/>
      <c r="I546" s="276"/>
      <c r="J546" s="194"/>
      <c r="K546" s="195">
        <f t="shared" si="53"/>
        <v>31</v>
      </c>
      <c r="L546" s="195">
        <f t="shared" si="53"/>
        <v>31</v>
      </c>
      <c r="M546" s="190"/>
      <c r="N546" s="196"/>
      <c r="O546" s="197"/>
      <c r="P546" s="198" t="str">
        <f t="shared" si="52"/>
        <v/>
      </c>
    </row>
    <row r="547" spans="2:16" x14ac:dyDescent="0.35">
      <c r="B547" s="190"/>
      <c r="C547" s="190"/>
      <c r="D547" s="190"/>
      <c r="E547" s="275"/>
      <c r="F547" s="192"/>
      <c r="G547" s="190"/>
      <c r="H547" s="193"/>
      <c r="I547" s="276"/>
      <c r="J547" s="194"/>
      <c r="K547" s="195">
        <f t="shared" si="53"/>
        <v>31</v>
      </c>
      <c r="L547" s="195">
        <f t="shared" si="53"/>
        <v>31</v>
      </c>
      <c r="M547" s="190"/>
      <c r="N547" s="196"/>
      <c r="O547" s="197"/>
      <c r="P547" s="198" t="str">
        <f t="shared" si="52"/>
        <v/>
      </c>
    </row>
    <row r="548" spans="2:16" x14ac:dyDescent="0.35">
      <c r="B548" s="190"/>
      <c r="C548" s="190"/>
      <c r="D548" s="190"/>
      <c r="E548" s="275"/>
      <c r="F548" s="192"/>
      <c r="G548" s="190"/>
      <c r="H548" s="193"/>
      <c r="I548" s="276"/>
      <c r="J548" s="194"/>
      <c r="K548" s="195">
        <f t="shared" si="53"/>
        <v>31</v>
      </c>
      <c r="L548" s="195">
        <f t="shared" si="53"/>
        <v>31</v>
      </c>
      <c r="M548" s="190"/>
      <c r="N548" s="196"/>
      <c r="O548" s="197"/>
      <c r="P548" s="198" t="str">
        <f t="shared" si="52"/>
        <v/>
      </c>
    </row>
    <row r="549" spans="2:16" x14ac:dyDescent="0.35">
      <c r="B549" s="190"/>
      <c r="C549" s="190"/>
      <c r="D549" s="190"/>
      <c r="E549" s="275"/>
      <c r="F549" s="192"/>
      <c r="G549" s="190"/>
      <c r="H549" s="193"/>
      <c r="I549" s="276"/>
      <c r="J549" s="194"/>
      <c r="K549" s="195">
        <f t="shared" si="53"/>
        <v>31</v>
      </c>
      <c r="L549" s="195">
        <f t="shared" si="53"/>
        <v>31</v>
      </c>
      <c r="M549" s="190"/>
      <c r="N549" s="196"/>
      <c r="O549" s="197"/>
      <c r="P549" s="198" t="str">
        <f t="shared" si="52"/>
        <v/>
      </c>
    </row>
    <row r="550" spans="2:16" x14ac:dyDescent="0.35">
      <c r="B550" s="190"/>
      <c r="C550" s="190"/>
      <c r="D550" s="190"/>
      <c r="E550" s="275"/>
      <c r="F550" s="192"/>
      <c r="G550" s="190"/>
      <c r="H550" s="193"/>
      <c r="I550" s="276"/>
      <c r="J550" s="194"/>
      <c r="K550" s="195">
        <f t="shared" si="53"/>
        <v>31</v>
      </c>
      <c r="L550" s="195">
        <f t="shared" si="53"/>
        <v>31</v>
      </c>
      <c r="M550" s="190"/>
      <c r="N550" s="196"/>
      <c r="O550" s="197"/>
      <c r="P550" s="198" t="str">
        <f t="shared" si="52"/>
        <v/>
      </c>
    </row>
    <row r="551" spans="2:16" x14ac:dyDescent="0.35">
      <c r="B551" s="190"/>
      <c r="C551" s="190"/>
      <c r="D551" s="190"/>
      <c r="E551" s="275"/>
      <c r="F551" s="192"/>
      <c r="G551" s="190"/>
      <c r="H551" s="193"/>
      <c r="I551" s="276"/>
      <c r="J551" s="194"/>
      <c r="K551" s="195">
        <f t="shared" si="53"/>
        <v>31</v>
      </c>
      <c r="L551" s="195">
        <f t="shared" si="53"/>
        <v>31</v>
      </c>
      <c r="M551" s="190"/>
      <c r="N551" s="196"/>
      <c r="O551" s="197"/>
      <c r="P551" s="198" t="str">
        <f t="shared" si="52"/>
        <v/>
      </c>
    </row>
    <row r="552" spans="2:16" x14ac:dyDescent="0.35">
      <c r="B552" s="190"/>
      <c r="C552" s="190"/>
      <c r="D552" s="190"/>
      <c r="E552" s="275"/>
      <c r="F552" s="192"/>
      <c r="G552" s="190"/>
      <c r="H552" s="193"/>
      <c r="I552" s="276"/>
      <c r="J552" s="194"/>
      <c r="K552" s="195">
        <f t="shared" si="53"/>
        <v>31</v>
      </c>
      <c r="L552" s="195">
        <f t="shared" si="53"/>
        <v>31</v>
      </c>
      <c r="M552" s="190"/>
      <c r="N552" s="196"/>
      <c r="O552" s="197"/>
      <c r="P552" s="198" t="str">
        <f t="shared" si="52"/>
        <v/>
      </c>
    </row>
    <row r="553" spans="2:16" x14ac:dyDescent="0.35">
      <c r="B553" s="190"/>
      <c r="C553" s="190"/>
      <c r="D553" s="190"/>
      <c r="E553" s="275"/>
      <c r="F553" s="192"/>
      <c r="G553" s="190"/>
      <c r="H553" s="193"/>
      <c r="I553" s="276"/>
      <c r="J553" s="194"/>
      <c r="K553" s="195">
        <f t="shared" si="53"/>
        <v>31</v>
      </c>
      <c r="L553" s="195">
        <f t="shared" si="53"/>
        <v>31</v>
      </c>
      <c r="M553" s="190"/>
      <c r="N553" s="196"/>
      <c r="O553" s="197"/>
      <c r="P553" s="198" t="str">
        <f t="shared" si="52"/>
        <v/>
      </c>
    </row>
    <row r="554" spans="2:16" x14ac:dyDescent="0.35">
      <c r="B554" s="190"/>
      <c r="C554" s="190"/>
      <c r="D554" s="190"/>
      <c r="E554" s="275"/>
      <c r="F554" s="192"/>
      <c r="G554" s="190"/>
      <c r="H554" s="193"/>
      <c r="I554" s="276"/>
      <c r="J554" s="194"/>
      <c r="K554" s="195">
        <f t="shared" si="53"/>
        <v>31</v>
      </c>
      <c r="L554" s="195">
        <f t="shared" si="53"/>
        <v>31</v>
      </c>
      <c r="M554" s="190"/>
      <c r="N554" s="196"/>
      <c r="O554" s="197"/>
      <c r="P554" s="198" t="str">
        <f t="shared" si="52"/>
        <v/>
      </c>
    </row>
    <row r="555" spans="2:16" x14ac:dyDescent="0.35">
      <c r="B555" s="190"/>
      <c r="C555" s="190"/>
      <c r="D555" s="190"/>
      <c r="E555" s="275"/>
      <c r="F555" s="192"/>
      <c r="G555" s="190"/>
      <c r="H555" s="193"/>
      <c r="I555" s="276"/>
      <c r="J555" s="194"/>
      <c r="K555" s="195">
        <f t="shared" si="53"/>
        <v>31</v>
      </c>
      <c r="L555" s="195">
        <f t="shared" si="53"/>
        <v>31</v>
      </c>
      <c r="M555" s="190"/>
      <c r="N555" s="196"/>
      <c r="O555" s="197"/>
      <c r="P555" s="198" t="str">
        <f t="shared" si="52"/>
        <v/>
      </c>
    </row>
    <row r="556" spans="2:16" x14ac:dyDescent="0.35">
      <c r="B556" s="190"/>
      <c r="C556" s="190"/>
      <c r="D556" s="190"/>
      <c r="E556" s="275"/>
      <c r="F556" s="192"/>
      <c r="G556" s="190"/>
      <c r="H556" s="193"/>
      <c r="I556" s="276"/>
      <c r="J556" s="194"/>
      <c r="K556" s="195">
        <f t="shared" si="53"/>
        <v>31</v>
      </c>
      <c r="L556" s="195">
        <f t="shared" si="53"/>
        <v>31</v>
      </c>
      <c r="M556" s="190"/>
      <c r="N556" s="196"/>
      <c r="O556" s="197"/>
      <c r="P556" s="198" t="str">
        <f t="shared" si="52"/>
        <v/>
      </c>
    </row>
    <row r="557" spans="2:16" x14ac:dyDescent="0.35">
      <c r="B557" s="190"/>
      <c r="C557" s="190"/>
      <c r="D557" s="190"/>
      <c r="E557" s="275"/>
      <c r="F557" s="192"/>
      <c r="G557" s="190"/>
      <c r="H557" s="193"/>
      <c r="I557" s="276"/>
      <c r="J557" s="194"/>
      <c r="K557" s="195">
        <f t="shared" si="53"/>
        <v>31</v>
      </c>
      <c r="L557" s="195">
        <f t="shared" si="53"/>
        <v>31</v>
      </c>
      <c r="M557" s="190"/>
      <c r="N557" s="196"/>
      <c r="O557" s="197"/>
      <c r="P557" s="198" t="str">
        <f t="shared" si="52"/>
        <v/>
      </c>
    </row>
    <row r="558" spans="2:16" x14ac:dyDescent="0.35">
      <c r="B558" s="190"/>
      <c r="C558" s="190"/>
      <c r="D558" s="190"/>
      <c r="E558" s="275"/>
      <c r="F558" s="192"/>
      <c r="G558" s="190"/>
      <c r="H558" s="193"/>
      <c r="I558" s="276"/>
      <c r="J558" s="194"/>
      <c r="K558" s="195">
        <f t="shared" si="53"/>
        <v>31</v>
      </c>
      <c r="L558" s="195">
        <f t="shared" si="53"/>
        <v>31</v>
      </c>
      <c r="M558" s="190"/>
      <c r="N558" s="196"/>
      <c r="O558" s="197"/>
      <c r="P558" s="198" t="str">
        <f t="shared" si="52"/>
        <v/>
      </c>
    </row>
    <row r="559" spans="2:16" x14ac:dyDescent="0.35">
      <c r="B559" s="190"/>
      <c r="C559" s="190"/>
      <c r="D559" s="190"/>
      <c r="E559" s="275"/>
      <c r="F559" s="192"/>
      <c r="G559" s="190"/>
      <c r="H559" s="193"/>
      <c r="I559" s="276"/>
      <c r="J559" s="194"/>
      <c r="K559" s="195">
        <f t="shared" si="53"/>
        <v>31</v>
      </c>
      <c r="L559" s="195">
        <f t="shared" si="53"/>
        <v>31</v>
      </c>
      <c r="M559" s="190"/>
      <c r="N559" s="196"/>
      <c r="O559" s="197"/>
      <c r="P559" s="198" t="str">
        <f t="shared" si="52"/>
        <v/>
      </c>
    </row>
    <row r="560" spans="2:16" x14ac:dyDescent="0.35">
      <c r="B560" s="190"/>
      <c r="C560" s="190"/>
      <c r="D560" s="190"/>
      <c r="E560" s="275"/>
      <c r="F560" s="192"/>
      <c r="G560" s="190"/>
      <c r="H560" s="193"/>
      <c r="I560" s="276"/>
      <c r="J560" s="194"/>
      <c r="K560" s="195">
        <f t="shared" si="53"/>
        <v>31</v>
      </c>
      <c r="L560" s="195">
        <f t="shared" si="53"/>
        <v>31</v>
      </c>
      <c r="M560" s="190"/>
      <c r="N560" s="196"/>
      <c r="O560" s="197"/>
      <c r="P560" s="198" t="str">
        <f t="shared" si="52"/>
        <v/>
      </c>
    </row>
    <row r="561" spans="2:16" x14ac:dyDescent="0.35">
      <c r="B561" s="190"/>
      <c r="C561" s="190"/>
      <c r="D561" s="190"/>
      <c r="E561" s="275"/>
      <c r="F561" s="192"/>
      <c r="G561" s="190"/>
      <c r="H561" s="193"/>
      <c r="I561" s="276"/>
      <c r="J561" s="194"/>
      <c r="K561" s="195">
        <f t="shared" si="53"/>
        <v>31</v>
      </c>
      <c r="L561" s="195">
        <f t="shared" si="53"/>
        <v>31</v>
      </c>
      <c r="M561" s="190"/>
      <c r="N561" s="196"/>
      <c r="O561" s="197"/>
      <c r="P561" s="198" t="str">
        <f t="shared" si="52"/>
        <v/>
      </c>
    </row>
    <row r="562" spans="2:16" x14ac:dyDescent="0.35">
      <c r="B562" s="190"/>
      <c r="C562" s="190"/>
      <c r="D562" s="190"/>
      <c r="E562" s="275"/>
      <c r="F562" s="192"/>
      <c r="G562" s="190"/>
      <c r="H562" s="193"/>
      <c r="I562" s="276"/>
      <c r="J562" s="194"/>
      <c r="K562" s="195">
        <f t="shared" si="53"/>
        <v>31</v>
      </c>
      <c r="L562" s="195">
        <f t="shared" si="53"/>
        <v>31</v>
      </c>
      <c r="M562" s="190"/>
      <c r="N562" s="196"/>
      <c r="O562" s="197"/>
      <c r="P562" s="198" t="str">
        <f t="shared" si="52"/>
        <v/>
      </c>
    </row>
    <row r="563" spans="2:16" x14ac:dyDescent="0.35">
      <c r="B563" s="190"/>
      <c r="C563" s="190"/>
      <c r="D563" s="190"/>
      <c r="E563" s="275"/>
      <c r="F563" s="192"/>
      <c r="G563" s="190"/>
      <c r="H563" s="193"/>
      <c r="I563" s="276"/>
      <c r="J563" s="194"/>
      <c r="K563" s="195">
        <f t="shared" si="53"/>
        <v>31</v>
      </c>
      <c r="L563" s="195">
        <f t="shared" si="53"/>
        <v>31</v>
      </c>
      <c r="M563" s="190"/>
      <c r="N563" s="196"/>
      <c r="O563" s="197"/>
      <c r="P563" s="198" t="str">
        <f t="shared" si="52"/>
        <v/>
      </c>
    </row>
    <row r="564" spans="2:16" x14ac:dyDescent="0.35">
      <c r="B564" s="190"/>
      <c r="C564" s="190"/>
      <c r="D564" s="190"/>
      <c r="E564" s="275"/>
      <c r="F564" s="192"/>
      <c r="G564" s="190"/>
      <c r="H564" s="193"/>
      <c r="I564" s="276"/>
      <c r="J564" s="194"/>
      <c r="K564" s="195">
        <f t="shared" si="53"/>
        <v>31</v>
      </c>
      <c r="L564" s="195">
        <f t="shared" si="53"/>
        <v>31</v>
      </c>
      <c r="M564" s="190"/>
      <c r="N564" s="196"/>
      <c r="O564" s="197"/>
      <c r="P564" s="198" t="str">
        <f t="shared" si="52"/>
        <v/>
      </c>
    </row>
    <row r="565" spans="2:16" x14ac:dyDescent="0.35">
      <c r="B565" s="190"/>
      <c r="C565" s="190"/>
      <c r="D565" s="190"/>
      <c r="E565" s="275"/>
      <c r="F565" s="192"/>
      <c r="G565" s="190"/>
      <c r="H565" s="193"/>
      <c r="I565" s="276"/>
      <c r="J565" s="194"/>
      <c r="K565" s="195">
        <f t="shared" si="53"/>
        <v>31</v>
      </c>
      <c r="L565" s="195">
        <f t="shared" si="53"/>
        <v>31</v>
      </c>
      <c r="M565" s="190"/>
      <c r="N565" s="196"/>
      <c r="O565" s="197"/>
      <c r="P565" s="198" t="str">
        <f t="shared" si="52"/>
        <v/>
      </c>
    </row>
    <row r="566" spans="2:16" x14ac:dyDescent="0.35">
      <c r="B566" s="190"/>
      <c r="C566" s="190"/>
      <c r="D566" s="190"/>
      <c r="E566" s="275"/>
      <c r="F566" s="192"/>
      <c r="G566" s="190"/>
      <c r="H566" s="193"/>
      <c r="I566" s="276"/>
      <c r="J566" s="194"/>
      <c r="K566" s="195">
        <f t="shared" si="53"/>
        <v>31</v>
      </c>
      <c r="L566" s="195">
        <f t="shared" si="53"/>
        <v>31</v>
      </c>
      <c r="M566" s="190"/>
      <c r="N566" s="196"/>
      <c r="O566" s="197"/>
      <c r="P566" s="198" t="str">
        <f t="shared" si="52"/>
        <v/>
      </c>
    </row>
    <row r="567" spans="2:16" x14ac:dyDescent="0.35">
      <c r="B567" s="190"/>
      <c r="C567" s="190"/>
      <c r="D567" s="190"/>
      <c r="E567" s="275"/>
      <c r="F567" s="192"/>
      <c r="G567" s="190"/>
      <c r="H567" s="193"/>
      <c r="I567" s="276"/>
      <c r="J567" s="194"/>
      <c r="K567" s="195">
        <f t="shared" si="53"/>
        <v>31</v>
      </c>
      <c r="L567" s="195">
        <f t="shared" si="53"/>
        <v>31</v>
      </c>
      <c r="M567" s="190"/>
      <c r="N567" s="196"/>
      <c r="O567" s="197"/>
      <c r="P567" s="198" t="str">
        <f t="shared" si="52"/>
        <v/>
      </c>
    </row>
    <row r="568" spans="2:16" x14ac:dyDescent="0.35">
      <c r="B568" s="190"/>
      <c r="C568" s="190"/>
      <c r="D568" s="190"/>
      <c r="E568" s="275"/>
      <c r="F568" s="192"/>
      <c r="G568" s="190"/>
      <c r="H568" s="193"/>
      <c r="I568" s="276"/>
      <c r="J568" s="194"/>
      <c r="K568" s="195">
        <f t="shared" si="53"/>
        <v>31</v>
      </c>
      <c r="L568" s="195">
        <f t="shared" si="53"/>
        <v>31</v>
      </c>
      <c r="M568" s="190"/>
      <c r="N568" s="196"/>
      <c r="O568" s="197"/>
      <c r="P568" s="198" t="str">
        <f t="shared" si="52"/>
        <v/>
      </c>
    </row>
    <row r="569" spans="2:16" x14ac:dyDescent="0.35">
      <c r="B569" s="190"/>
      <c r="C569" s="190"/>
      <c r="D569" s="190"/>
      <c r="E569" s="275"/>
      <c r="F569" s="192"/>
      <c r="G569" s="190"/>
      <c r="H569" s="193"/>
      <c r="I569" s="276"/>
      <c r="J569" s="194"/>
      <c r="K569" s="195">
        <f t="shared" si="53"/>
        <v>31</v>
      </c>
      <c r="L569" s="195">
        <f t="shared" si="53"/>
        <v>31</v>
      </c>
      <c r="M569" s="190"/>
      <c r="N569" s="196"/>
      <c r="O569" s="197"/>
      <c r="P569" s="198" t="str">
        <f t="shared" si="52"/>
        <v/>
      </c>
    </row>
    <row r="570" spans="2:16" x14ac:dyDescent="0.35">
      <c r="B570" s="190"/>
      <c r="C570" s="190"/>
      <c r="D570" s="190"/>
      <c r="E570" s="275"/>
      <c r="F570" s="192"/>
      <c r="G570" s="190"/>
      <c r="H570" s="193"/>
      <c r="I570" s="276"/>
      <c r="J570" s="194"/>
      <c r="K570" s="195">
        <f t="shared" si="53"/>
        <v>31</v>
      </c>
      <c r="L570" s="195">
        <f t="shared" si="53"/>
        <v>31</v>
      </c>
      <c r="M570" s="190"/>
      <c r="N570" s="196"/>
      <c r="O570" s="197"/>
      <c r="P570" s="198" t="str">
        <f t="shared" si="52"/>
        <v/>
      </c>
    </row>
    <row r="571" spans="2:16" x14ac:dyDescent="0.35">
      <c r="B571" s="190"/>
      <c r="C571" s="190"/>
      <c r="D571" s="190"/>
      <c r="E571" s="275"/>
      <c r="F571" s="192"/>
      <c r="G571" s="190"/>
      <c r="H571" s="193"/>
      <c r="I571" s="276"/>
      <c r="J571" s="194"/>
      <c r="K571" s="195">
        <f t="shared" si="53"/>
        <v>31</v>
      </c>
      <c r="L571" s="195">
        <f t="shared" si="53"/>
        <v>31</v>
      </c>
      <c r="M571" s="190"/>
      <c r="N571" s="196"/>
      <c r="O571" s="197"/>
      <c r="P571" s="198" t="str">
        <f t="shared" si="52"/>
        <v/>
      </c>
    </row>
    <row r="572" spans="2:16" x14ac:dyDescent="0.35">
      <c r="B572" s="190"/>
      <c r="C572" s="190"/>
      <c r="D572" s="190"/>
      <c r="E572" s="275"/>
      <c r="F572" s="192"/>
      <c r="G572" s="190"/>
      <c r="H572" s="193"/>
      <c r="I572" s="276"/>
      <c r="J572" s="194"/>
      <c r="K572" s="195">
        <f t="shared" si="53"/>
        <v>31</v>
      </c>
      <c r="L572" s="195">
        <f t="shared" si="53"/>
        <v>31</v>
      </c>
      <c r="M572" s="190"/>
      <c r="N572" s="196"/>
      <c r="O572" s="197"/>
      <c r="P572" s="198" t="str">
        <f t="shared" si="52"/>
        <v/>
      </c>
    </row>
    <row r="573" spans="2:16" x14ac:dyDescent="0.35">
      <c r="B573" s="190"/>
      <c r="C573" s="190"/>
      <c r="D573" s="190"/>
      <c r="E573" s="275"/>
      <c r="F573" s="192"/>
      <c r="G573" s="190"/>
      <c r="H573" s="193"/>
      <c r="I573" s="276"/>
      <c r="J573" s="194"/>
      <c r="K573" s="195">
        <f t="shared" si="53"/>
        <v>31</v>
      </c>
      <c r="L573" s="195">
        <f t="shared" si="53"/>
        <v>31</v>
      </c>
      <c r="M573" s="190"/>
      <c r="N573" s="196"/>
      <c r="O573" s="197"/>
      <c r="P573" s="198" t="str">
        <f t="shared" si="52"/>
        <v/>
      </c>
    </row>
    <row r="574" spans="2:16" x14ac:dyDescent="0.35">
      <c r="B574" s="190"/>
      <c r="C574" s="190"/>
      <c r="D574" s="190"/>
      <c r="E574" s="275"/>
      <c r="F574" s="192"/>
      <c r="G574" s="190"/>
      <c r="H574" s="193"/>
      <c r="I574" s="276"/>
      <c r="J574" s="194"/>
      <c r="K574" s="195">
        <f t="shared" si="53"/>
        <v>31</v>
      </c>
      <c r="L574" s="195">
        <f t="shared" si="53"/>
        <v>31</v>
      </c>
      <c r="M574" s="190"/>
      <c r="N574" s="196"/>
      <c r="O574" s="197"/>
      <c r="P574" s="198" t="str">
        <f t="shared" si="52"/>
        <v/>
      </c>
    </row>
    <row r="575" spans="2:16" x14ac:dyDescent="0.35">
      <c r="B575" s="190"/>
      <c r="C575" s="190"/>
      <c r="D575" s="190"/>
      <c r="E575" s="275"/>
      <c r="F575" s="192"/>
      <c r="G575" s="190"/>
      <c r="H575" s="193"/>
      <c r="I575" s="276"/>
      <c r="J575" s="194"/>
      <c r="K575" s="195">
        <f t="shared" si="53"/>
        <v>31</v>
      </c>
      <c r="L575" s="195">
        <f t="shared" si="53"/>
        <v>31</v>
      </c>
      <c r="M575" s="190"/>
      <c r="N575" s="196"/>
      <c r="O575" s="197"/>
      <c r="P575" s="198" t="str">
        <f t="shared" si="52"/>
        <v/>
      </c>
    </row>
    <row r="576" spans="2:16" x14ac:dyDescent="0.35">
      <c r="B576" s="190"/>
      <c r="C576" s="190"/>
      <c r="D576" s="190"/>
      <c r="E576" s="275"/>
      <c r="F576" s="192"/>
      <c r="G576" s="190"/>
      <c r="H576" s="193"/>
      <c r="I576" s="276"/>
      <c r="J576" s="194"/>
      <c r="K576" s="195">
        <f t="shared" si="53"/>
        <v>31</v>
      </c>
      <c r="L576" s="195">
        <f t="shared" si="53"/>
        <v>31</v>
      </c>
      <c r="M576" s="190"/>
      <c r="N576" s="196"/>
      <c r="O576" s="197"/>
      <c r="P576" s="198" t="str">
        <f t="shared" si="52"/>
        <v/>
      </c>
    </row>
    <row r="577" spans="2:16" x14ac:dyDescent="0.35">
      <c r="B577" s="190"/>
      <c r="C577" s="190"/>
      <c r="D577" s="190"/>
      <c r="E577" s="275"/>
      <c r="F577" s="192"/>
      <c r="G577" s="190"/>
      <c r="H577" s="193"/>
      <c r="I577" s="276"/>
      <c r="J577" s="194"/>
      <c r="K577" s="195">
        <f t="shared" si="53"/>
        <v>31</v>
      </c>
      <c r="L577" s="195">
        <f t="shared" si="53"/>
        <v>31</v>
      </c>
      <c r="M577" s="190"/>
      <c r="N577" s="196"/>
      <c r="O577" s="197"/>
      <c r="P577" s="198" t="str">
        <f t="shared" si="52"/>
        <v/>
      </c>
    </row>
    <row r="578" spans="2:16" x14ac:dyDescent="0.35">
      <c r="B578" s="190"/>
      <c r="C578" s="190"/>
      <c r="D578" s="190"/>
      <c r="E578" s="275"/>
      <c r="F578" s="192"/>
      <c r="G578" s="190"/>
      <c r="H578" s="193"/>
      <c r="I578" s="276"/>
      <c r="J578" s="194"/>
      <c r="K578" s="195">
        <f t="shared" si="53"/>
        <v>31</v>
      </c>
      <c r="L578" s="195">
        <f t="shared" si="53"/>
        <v>31</v>
      </c>
      <c r="M578" s="190"/>
      <c r="N578" s="196"/>
      <c r="O578" s="197"/>
      <c r="P578" s="198" t="str">
        <f t="shared" si="52"/>
        <v/>
      </c>
    </row>
    <row r="579" spans="2:16" x14ac:dyDescent="0.35">
      <c r="B579" s="190"/>
      <c r="C579" s="190"/>
      <c r="D579" s="190"/>
      <c r="E579" s="275"/>
      <c r="F579" s="192"/>
      <c r="G579" s="190"/>
      <c r="H579" s="193"/>
      <c r="I579" s="276"/>
      <c r="J579" s="194"/>
      <c r="K579" s="195">
        <f t="shared" si="53"/>
        <v>31</v>
      </c>
      <c r="L579" s="195">
        <f t="shared" si="53"/>
        <v>31</v>
      </c>
      <c r="M579" s="190"/>
      <c r="N579" s="196"/>
      <c r="O579" s="197"/>
      <c r="P579" s="198" t="str">
        <f t="shared" si="52"/>
        <v/>
      </c>
    </row>
    <row r="580" spans="2:16" x14ac:dyDescent="0.35">
      <c r="B580" s="190"/>
      <c r="C580" s="190"/>
      <c r="D580" s="190"/>
      <c r="E580" s="275"/>
      <c r="F580" s="192"/>
      <c r="G580" s="190"/>
      <c r="H580" s="193"/>
      <c r="I580" s="276"/>
      <c r="J580" s="194"/>
      <c r="K580" s="195">
        <f t="shared" si="53"/>
        <v>31</v>
      </c>
      <c r="L580" s="195">
        <f t="shared" si="53"/>
        <v>31</v>
      </c>
      <c r="M580" s="190"/>
      <c r="N580" s="196"/>
      <c r="O580" s="197"/>
      <c r="P580" s="198" t="str">
        <f t="shared" si="52"/>
        <v/>
      </c>
    </row>
    <row r="581" spans="2:16" x14ac:dyDescent="0.35">
      <c r="B581" s="190"/>
      <c r="C581" s="190"/>
      <c r="D581" s="190"/>
      <c r="E581" s="275"/>
      <c r="F581" s="192"/>
      <c r="G581" s="190"/>
      <c r="H581" s="193"/>
      <c r="I581" s="276"/>
      <c r="J581" s="194"/>
      <c r="K581" s="195">
        <f t="shared" si="53"/>
        <v>31</v>
      </c>
      <c r="L581" s="195">
        <f t="shared" si="53"/>
        <v>31</v>
      </c>
      <c r="M581" s="190"/>
      <c r="N581" s="196"/>
      <c r="O581" s="197"/>
      <c r="P581" s="198" t="str">
        <f t="shared" si="52"/>
        <v/>
      </c>
    </row>
    <row r="582" spans="2:16" x14ac:dyDescent="0.35">
      <c r="B582" s="190"/>
      <c r="C582" s="190"/>
      <c r="D582" s="190"/>
      <c r="E582" s="275"/>
      <c r="F582" s="192"/>
      <c r="G582" s="190"/>
      <c r="H582" s="193"/>
      <c r="I582" s="276"/>
      <c r="J582" s="194"/>
      <c r="K582" s="195">
        <f t="shared" si="53"/>
        <v>31</v>
      </c>
      <c r="L582" s="195">
        <f t="shared" si="53"/>
        <v>31</v>
      </c>
      <c r="M582" s="190"/>
      <c r="N582" s="196"/>
      <c r="O582" s="197"/>
      <c r="P582" s="198" t="str">
        <f t="shared" si="52"/>
        <v/>
      </c>
    </row>
    <row r="583" spans="2:16" x14ac:dyDescent="0.35">
      <c r="B583" s="190"/>
      <c r="C583" s="190"/>
      <c r="D583" s="190"/>
      <c r="E583" s="275"/>
      <c r="F583" s="192"/>
      <c r="G583" s="190"/>
      <c r="H583" s="193"/>
      <c r="I583" s="276"/>
      <c r="J583" s="194"/>
      <c r="K583" s="195">
        <f t="shared" si="53"/>
        <v>31</v>
      </c>
      <c r="L583" s="195">
        <f t="shared" si="53"/>
        <v>31</v>
      </c>
      <c r="M583" s="190"/>
      <c r="N583" s="196"/>
      <c r="O583" s="197"/>
      <c r="P583" s="198" t="str">
        <f t="shared" si="52"/>
        <v/>
      </c>
    </row>
    <row r="584" spans="2:16" x14ac:dyDescent="0.35">
      <c r="B584" s="190"/>
      <c r="C584" s="190"/>
      <c r="D584" s="190"/>
      <c r="E584" s="275"/>
      <c r="F584" s="192"/>
      <c r="G584" s="190"/>
      <c r="H584" s="193"/>
      <c r="I584" s="276"/>
      <c r="J584" s="194"/>
      <c r="K584" s="195">
        <f t="shared" si="53"/>
        <v>31</v>
      </c>
      <c r="L584" s="195">
        <f t="shared" si="53"/>
        <v>31</v>
      </c>
      <c r="M584" s="190"/>
      <c r="N584" s="196"/>
      <c r="O584" s="197"/>
      <c r="P584" s="198" t="str">
        <f t="shared" ref="P584:P619" si="54">IF(H584="","",IF(($C$5-H584)/365&gt;1.5,"Renewed Lease","New Lease"))</f>
        <v/>
      </c>
    </row>
    <row r="585" spans="2:16" x14ac:dyDescent="0.35">
      <c r="B585" s="190"/>
      <c r="C585" s="190"/>
      <c r="D585" s="190"/>
      <c r="E585" s="275"/>
      <c r="F585" s="192"/>
      <c r="G585" s="190"/>
      <c r="H585" s="193"/>
      <c r="I585" s="276"/>
      <c r="J585" s="194"/>
      <c r="K585" s="195">
        <f t="shared" si="53"/>
        <v>31</v>
      </c>
      <c r="L585" s="195">
        <f t="shared" si="53"/>
        <v>31</v>
      </c>
      <c r="M585" s="190"/>
      <c r="N585" s="196"/>
      <c r="O585" s="197"/>
      <c r="P585" s="198" t="str">
        <f t="shared" si="54"/>
        <v/>
      </c>
    </row>
    <row r="586" spans="2:16" x14ac:dyDescent="0.35">
      <c r="B586" s="190"/>
      <c r="C586" s="190"/>
      <c r="D586" s="190"/>
      <c r="E586" s="275"/>
      <c r="F586" s="192"/>
      <c r="G586" s="190"/>
      <c r="H586" s="193"/>
      <c r="I586" s="276"/>
      <c r="J586" s="194"/>
      <c r="K586" s="195">
        <f t="shared" si="53"/>
        <v>31</v>
      </c>
      <c r="L586" s="195">
        <f t="shared" si="53"/>
        <v>31</v>
      </c>
      <c r="M586" s="190"/>
      <c r="N586" s="196"/>
      <c r="O586" s="197"/>
      <c r="P586" s="198" t="str">
        <f t="shared" si="54"/>
        <v/>
      </c>
    </row>
    <row r="587" spans="2:16" x14ac:dyDescent="0.35">
      <c r="B587" s="190"/>
      <c r="C587" s="190"/>
      <c r="D587" s="190"/>
      <c r="E587" s="275"/>
      <c r="F587" s="192"/>
      <c r="G587" s="190"/>
      <c r="H587" s="193"/>
      <c r="I587" s="276"/>
      <c r="J587" s="194"/>
      <c r="K587" s="195">
        <f t="shared" si="53"/>
        <v>31</v>
      </c>
      <c r="L587" s="195">
        <f t="shared" si="53"/>
        <v>31</v>
      </c>
      <c r="M587" s="190"/>
      <c r="N587" s="196"/>
      <c r="O587" s="197"/>
      <c r="P587" s="198" t="str">
        <f t="shared" si="54"/>
        <v/>
      </c>
    </row>
    <row r="588" spans="2:16" x14ac:dyDescent="0.35">
      <c r="B588" s="190"/>
      <c r="C588" s="190"/>
      <c r="D588" s="190"/>
      <c r="E588" s="275"/>
      <c r="F588" s="192"/>
      <c r="G588" s="190"/>
      <c r="H588" s="193"/>
      <c r="I588" s="276"/>
      <c r="J588" s="194"/>
      <c r="K588" s="195">
        <f t="shared" si="53"/>
        <v>31</v>
      </c>
      <c r="L588" s="195">
        <f t="shared" si="53"/>
        <v>31</v>
      </c>
      <c r="M588" s="190"/>
      <c r="N588" s="196"/>
      <c r="O588" s="197"/>
      <c r="P588" s="198" t="str">
        <f t="shared" si="54"/>
        <v/>
      </c>
    </row>
    <row r="589" spans="2:16" x14ac:dyDescent="0.35">
      <c r="B589" s="190"/>
      <c r="C589" s="190"/>
      <c r="D589" s="190"/>
      <c r="E589" s="275"/>
      <c r="F589" s="192"/>
      <c r="G589" s="190"/>
      <c r="H589" s="193"/>
      <c r="I589" s="276"/>
      <c r="J589" s="194"/>
      <c r="K589" s="195">
        <f t="shared" si="53"/>
        <v>31</v>
      </c>
      <c r="L589" s="195">
        <f t="shared" si="53"/>
        <v>31</v>
      </c>
      <c r="M589" s="190"/>
      <c r="N589" s="196"/>
      <c r="O589" s="197"/>
      <c r="P589" s="198" t="str">
        <f t="shared" si="54"/>
        <v/>
      </c>
    </row>
    <row r="590" spans="2:16" x14ac:dyDescent="0.35">
      <c r="B590" s="190"/>
      <c r="C590" s="190"/>
      <c r="D590" s="190"/>
      <c r="E590" s="275"/>
      <c r="F590" s="192"/>
      <c r="G590" s="190"/>
      <c r="H590" s="193"/>
      <c r="I590" s="276"/>
      <c r="J590" s="194"/>
      <c r="K590" s="195">
        <f t="shared" si="53"/>
        <v>31</v>
      </c>
      <c r="L590" s="195">
        <f t="shared" si="53"/>
        <v>31</v>
      </c>
      <c r="M590" s="190"/>
      <c r="N590" s="196"/>
      <c r="O590" s="197"/>
      <c r="P590" s="198" t="str">
        <f t="shared" si="54"/>
        <v/>
      </c>
    </row>
    <row r="591" spans="2:16" x14ac:dyDescent="0.35">
      <c r="B591" s="190"/>
      <c r="C591" s="190"/>
      <c r="D591" s="190"/>
      <c r="E591" s="275"/>
      <c r="F591" s="192"/>
      <c r="G591" s="190"/>
      <c r="H591" s="193"/>
      <c r="I591" s="276"/>
      <c r="J591" s="194"/>
      <c r="K591" s="195">
        <f t="shared" si="53"/>
        <v>31</v>
      </c>
      <c r="L591" s="195">
        <f t="shared" si="53"/>
        <v>31</v>
      </c>
      <c r="M591" s="190"/>
      <c r="N591" s="196"/>
      <c r="O591" s="197"/>
      <c r="P591" s="198" t="str">
        <f t="shared" si="54"/>
        <v/>
      </c>
    </row>
    <row r="592" spans="2:16" x14ac:dyDescent="0.35">
      <c r="B592" s="190"/>
      <c r="C592" s="190"/>
      <c r="D592" s="190"/>
      <c r="E592" s="275"/>
      <c r="F592" s="192"/>
      <c r="G592" s="190"/>
      <c r="H592" s="193"/>
      <c r="I592" s="276"/>
      <c r="J592" s="194"/>
      <c r="K592" s="195">
        <f t="shared" si="53"/>
        <v>31</v>
      </c>
      <c r="L592" s="195">
        <f t="shared" si="53"/>
        <v>31</v>
      </c>
      <c r="M592" s="190"/>
      <c r="N592" s="196"/>
      <c r="O592" s="197"/>
      <c r="P592" s="198" t="str">
        <f t="shared" si="54"/>
        <v/>
      </c>
    </row>
    <row r="593" spans="2:16" x14ac:dyDescent="0.35">
      <c r="B593" s="190"/>
      <c r="C593" s="190"/>
      <c r="D593" s="190"/>
      <c r="E593" s="275"/>
      <c r="F593" s="192"/>
      <c r="G593" s="190"/>
      <c r="H593" s="193"/>
      <c r="I593" s="276"/>
      <c r="J593" s="194"/>
      <c r="K593" s="195">
        <f t="shared" ref="K593:L619" si="55">EOMONTH(I593,0)</f>
        <v>31</v>
      </c>
      <c r="L593" s="195">
        <f t="shared" si="55"/>
        <v>31</v>
      </c>
      <c r="M593" s="190"/>
      <c r="N593" s="196"/>
      <c r="O593" s="197"/>
      <c r="P593" s="198" t="str">
        <f t="shared" si="54"/>
        <v/>
      </c>
    </row>
    <row r="594" spans="2:16" x14ac:dyDescent="0.35">
      <c r="B594" s="190"/>
      <c r="C594" s="190"/>
      <c r="D594" s="190"/>
      <c r="E594" s="275"/>
      <c r="F594" s="192"/>
      <c r="G594" s="190"/>
      <c r="H594" s="193"/>
      <c r="I594" s="276"/>
      <c r="J594" s="194"/>
      <c r="K594" s="195">
        <f t="shared" si="55"/>
        <v>31</v>
      </c>
      <c r="L594" s="195">
        <f t="shared" si="55"/>
        <v>31</v>
      </c>
      <c r="M594" s="190"/>
      <c r="N594" s="196"/>
      <c r="O594" s="197"/>
      <c r="P594" s="198" t="str">
        <f t="shared" si="54"/>
        <v/>
      </c>
    </row>
    <row r="595" spans="2:16" x14ac:dyDescent="0.35">
      <c r="B595" s="190"/>
      <c r="C595" s="190"/>
      <c r="D595" s="190"/>
      <c r="E595" s="275"/>
      <c r="F595" s="192"/>
      <c r="G595" s="190"/>
      <c r="H595" s="193"/>
      <c r="I595" s="276"/>
      <c r="J595" s="194"/>
      <c r="K595" s="195">
        <f t="shared" si="55"/>
        <v>31</v>
      </c>
      <c r="L595" s="195">
        <f t="shared" si="55"/>
        <v>31</v>
      </c>
      <c r="M595" s="190"/>
      <c r="N595" s="196"/>
      <c r="O595" s="197"/>
      <c r="P595" s="198" t="str">
        <f t="shared" si="54"/>
        <v/>
      </c>
    </row>
    <row r="596" spans="2:16" x14ac:dyDescent="0.35">
      <c r="B596" s="190"/>
      <c r="C596" s="190"/>
      <c r="D596" s="190"/>
      <c r="E596" s="275"/>
      <c r="F596" s="192"/>
      <c r="G596" s="190"/>
      <c r="H596" s="193"/>
      <c r="I596" s="276"/>
      <c r="J596" s="194"/>
      <c r="K596" s="195">
        <f t="shared" si="55"/>
        <v>31</v>
      </c>
      <c r="L596" s="195">
        <f t="shared" si="55"/>
        <v>31</v>
      </c>
      <c r="M596" s="190"/>
      <c r="N596" s="196"/>
      <c r="O596" s="197"/>
      <c r="P596" s="198" t="str">
        <f t="shared" si="54"/>
        <v/>
      </c>
    </row>
    <row r="597" spans="2:16" x14ac:dyDescent="0.35">
      <c r="B597" s="190"/>
      <c r="C597" s="190"/>
      <c r="D597" s="190"/>
      <c r="E597" s="275"/>
      <c r="F597" s="192"/>
      <c r="G597" s="190"/>
      <c r="H597" s="193"/>
      <c r="I597" s="276"/>
      <c r="J597" s="194"/>
      <c r="K597" s="195">
        <f t="shared" si="55"/>
        <v>31</v>
      </c>
      <c r="L597" s="195">
        <f t="shared" si="55"/>
        <v>31</v>
      </c>
      <c r="M597" s="190"/>
      <c r="N597" s="196"/>
      <c r="O597" s="197"/>
      <c r="P597" s="198" t="str">
        <f t="shared" si="54"/>
        <v/>
      </c>
    </row>
    <row r="598" spans="2:16" x14ac:dyDescent="0.35">
      <c r="B598" s="190"/>
      <c r="C598" s="190"/>
      <c r="D598" s="190"/>
      <c r="E598" s="275"/>
      <c r="F598" s="192"/>
      <c r="G598" s="190"/>
      <c r="H598" s="193"/>
      <c r="I598" s="276"/>
      <c r="J598" s="194"/>
      <c r="K598" s="195">
        <f t="shared" si="55"/>
        <v>31</v>
      </c>
      <c r="L598" s="195">
        <f t="shared" si="55"/>
        <v>31</v>
      </c>
      <c r="M598" s="190"/>
      <c r="N598" s="196"/>
      <c r="O598" s="197"/>
      <c r="P598" s="198" t="str">
        <f t="shared" si="54"/>
        <v/>
      </c>
    </row>
    <row r="599" spans="2:16" x14ac:dyDescent="0.35">
      <c r="B599" s="190"/>
      <c r="C599" s="190"/>
      <c r="D599" s="190"/>
      <c r="E599" s="275"/>
      <c r="F599" s="192"/>
      <c r="G599" s="190"/>
      <c r="H599" s="193"/>
      <c r="I599" s="276"/>
      <c r="J599" s="194"/>
      <c r="K599" s="195">
        <f t="shared" si="55"/>
        <v>31</v>
      </c>
      <c r="L599" s="195">
        <f t="shared" si="55"/>
        <v>31</v>
      </c>
      <c r="M599" s="190"/>
      <c r="N599" s="196"/>
      <c r="O599" s="197"/>
      <c r="P599" s="198" t="str">
        <f t="shared" si="54"/>
        <v/>
      </c>
    </row>
    <row r="600" spans="2:16" x14ac:dyDescent="0.35">
      <c r="B600" s="190"/>
      <c r="C600" s="190"/>
      <c r="D600" s="190"/>
      <c r="E600" s="275"/>
      <c r="F600" s="192"/>
      <c r="G600" s="190"/>
      <c r="H600" s="193"/>
      <c r="I600" s="276"/>
      <c r="J600" s="194"/>
      <c r="K600" s="195">
        <f t="shared" si="55"/>
        <v>31</v>
      </c>
      <c r="L600" s="195">
        <f t="shared" si="55"/>
        <v>31</v>
      </c>
      <c r="M600" s="190"/>
      <c r="N600" s="196"/>
      <c r="O600" s="197"/>
      <c r="P600" s="198" t="str">
        <f t="shared" si="54"/>
        <v/>
      </c>
    </row>
    <row r="601" spans="2:16" x14ac:dyDescent="0.35">
      <c r="B601" s="190"/>
      <c r="C601" s="190"/>
      <c r="D601" s="190"/>
      <c r="E601" s="275"/>
      <c r="F601" s="192"/>
      <c r="G601" s="190"/>
      <c r="H601" s="193"/>
      <c r="I601" s="276"/>
      <c r="J601" s="194"/>
      <c r="K601" s="195">
        <f t="shared" si="55"/>
        <v>31</v>
      </c>
      <c r="L601" s="195">
        <f t="shared" si="55"/>
        <v>31</v>
      </c>
      <c r="M601" s="190"/>
      <c r="N601" s="196"/>
      <c r="O601" s="197"/>
      <c r="P601" s="198" t="str">
        <f t="shared" si="54"/>
        <v/>
      </c>
    </row>
    <row r="602" spans="2:16" x14ac:dyDescent="0.35">
      <c r="B602" s="190"/>
      <c r="C602" s="190"/>
      <c r="D602" s="190"/>
      <c r="E602" s="275"/>
      <c r="F602" s="192"/>
      <c r="G602" s="190"/>
      <c r="H602" s="193"/>
      <c r="I602" s="276"/>
      <c r="J602" s="194"/>
      <c r="K602" s="195">
        <f t="shared" si="55"/>
        <v>31</v>
      </c>
      <c r="L602" s="195">
        <f t="shared" si="55"/>
        <v>31</v>
      </c>
      <c r="M602" s="190"/>
      <c r="N602" s="196"/>
      <c r="O602" s="197"/>
      <c r="P602" s="198" t="str">
        <f t="shared" si="54"/>
        <v/>
      </c>
    </row>
    <row r="603" spans="2:16" x14ac:dyDescent="0.35">
      <c r="B603" s="190"/>
      <c r="C603" s="190"/>
      <c r="D603" s="190"/>
      <c r="E603" s="275"/>
      <c r="F603" s="192"/>
      <c r="G603" s="190"/>
      <c r="H603" s="193"/>
      <c r="I603" s="276"/>
      <c r="J603" s="194"/>
      <c r="K603" s="195">
        <f t="shared" si="55"/>
        <v>31</v>
      </c>
      <c r="L603" s="195">
        <f t="shared" si="55"/>
        <v>31</v>
      </c>
      <c r="M603" s="190"/>
      <c r="N603" s="196"/>
      <c r="O603" s="197"/>
      <c r="P603" s="198" t="str">
        <f t="shared" si="54"/>
        <v/>
      </c>
    </row>
    <row r="604" spans="2:16" x14ac:dyDescent="0.35">
      <c r="B604" s="190"/>
      <c r="C604" s="190"/>
      <c r="D604" s="190"/>
      <c r="E604" s="275"/>
      <c r="F604" s="192"/>
      <c r="G604" s="190"/>
      <c r="H604" s="193"/>
      <c r="I604" s="276"/>
      <c r="J604" s="194"/>
      <c r="K604" s="195">
        <f t="shared" si="55"/>
        <v>31</v>
      </c>
      <c r="L604" s="195">
        <f t="shared" si="55"/>
        <v>31</v>
      </c>
      <c r="M604" s="190"/>
      <c r="N604" s="196"/>
      <c r="O604" s="197"/>
      <c r="P604" s="198" t="str">
        <f t="shared" si="54"/>
        <v/>
      </c>
    </row>
    <row r="605" spans="2:16" x14ac:dyDescent="0.35">
      <c r="B605" s="190"/>
      <c r="C605" s="190"/>
      <c r="D605" s="190"/>
      <c r="E605" s="275"/>
      <c r="F605" s="192"/>
      <c r="G605" s="190"/>
      <c r="H605" s="193"/>
      <c r="I605" s="276"/>
      <c r="J605" s="194"/>
      <c r="K605" s="195">
        <f t="shared" si="55"/>
        <v>31</v>
      </c>
      <c r="L605" s="195">
        <f t="shared" si="55"/>
        <v>31</v>
      </c>
      <c r="M605" s="190"/>
      <c r="N605" s="196"/>
      <c r="O605" s="197"/>
      <c r="P605" s="198" t="str">
        <f t="shared" si="54"/>
        <v/>
      </c>
    </row>
    <row r="606" spans="2:16" x14ac:dyDescent="0.35">
      <c r="B606" s="190"/>
      <c r="C606" s="190"/>
      <c r="D606" s="190"/>
      <c r="E606" s="275"/>
      <c r="F606" s="192"/>
      <c r="G606" s="190"/>
      <c r="H606" s="193"/>
      <c r="I606" s="276"/>
      <c r="J606" s="194"/>
      <c r="K606" s="195">
        <f t="shared" si="55"/>
        <v>31</v>
      </c>
      <c r="L606" s="195">
        <f t="shared" si="55"/>
        <v>31</v>
      </c>
      <c r="M606" s="190"/>
      <c r="N606" s="196"/>
      <c r="O606" s="197"/>
      <c r="P606" s="198" t="str">
        <f t="shared" si="54"/>
        <v/>
      </c>
    </row>
    <row r="607" spans="2:16" x14ac:dyDescent="0.35">
      <c r="B607" s="190"/>
      <c r="C607" s="190"/>
      <c r="D607" s="190"/>
      <c r="E607" s="275"/>
      <c r="F607" s="192"/>
      <c r="G607" s="190"/>
      <c r="H607" s="193"/>
      <c r="I607" s="276"/>
      <c r="J607" s="194"/>
      <c r="K607" s="195">
        <f t="shared" si="55"/>
        <v>31</v>
      </c>
      <c r="L607" s="195">
        <f t="shared" si="55"/>
        <v>31</v>
      </c>
      <c r="M607" s="190"/>
      <c r="N607" s="196"/>
      <c r="O607" s="197"/>
      <c r="P607" s="198" t="str">
        <f t="shared" si="54"/>
        <v/>
      </c>
    </row>
    <row r="608" spans="2:16" x14ac:dyDescent="0.35">
      <c r="B608" s="190"/>
      <c r="C608" s="190"/>
      <c r="D608" s="190"/>
      <c r="E608" s="275"/>
      <c r="F608" s="192"/>
      <c r="G608" s="190"/>
      <c r="H608" s="193"/>
      <c r="I608" s="276"/>
      <c r="J608" s="194"/>
      <c r="K608" s="195">
        <f t="shared" si="55"/>
        <v>31</v>
      </c>
      <c r="L608" s="195">
        <f t="shared" si="55"/>
        <v>31</v>
      </c>
      <c r="M608" s="190"/>
      <c r="N608" s="196"/>
      <c r="O608" s="197"/>
      <c r="P608" s="198" t="str">
        <f t="shared" si="54"/>
        <v/>
      </c>
    </row>
    <row r="609" spans="2:16" x14ac:dyDescent="0.35">
      <c r="B609" s="190"/>
      <c r="C609" s="190"/>
      <c r="D609" s="190"/>
      <c r="E609" s="275"/>
      <c r="F609" s="192"/>
      <c r="G609" s="190"/>
      <c r="H609" s="193"/>
      <c r="I609" s="276"/>
      <c r="J609" s="194"/>
      <c r="K609" s="195">
        <f t="shared" si="55"/>
        <v>31</v>
      </c>
      <c r="L609" s="195">
        <f t="shared" si="55"/>
        <v>31</v>
      </c>
      <c r="M609" s="190"/>
      <c r="N609" s="196"/>
      <c r="O609" s="197"/>
      <c r="P609" s="198" t="str">
        <f t="shared" si="54"/>
        <v/>
      </c>
    </row>
    <row r="610" spans="2:16" x14ac:dyDescent="0.35">
      <c r="B610" s="190"/>
      <c r="C610" s="190"/>
      <c r="D610" s="190"/>
      <c r="E610" s="275"/>
      <c r="F610" s="192"/>
      <c r="G610" s="190"/>
      <c r="H610" s="193"/>
      <c r="I610" s="276"/>
      <c r="J610" s="194"/>
      <c r="K610" s="195">
        <f t="shared" si="55"/>
        <v>31</v>
      </c>
      <c r="L610" s="195">
        <f t="shared" si="55"/>
        <v>31</v>
      </c>
      <c r="M610" s="190"/>
      <c r="N610" s="196"/>
      <c r="O610" s="197"/>
      <c r="P610" s="198" t="str">
        <f t="shared" si="54"/>
        <v/>
      </c>
    </row>
    <row r="611" spans="2:16" x14ac:dyDescent="0.35">
      <c r="B611" s="190"/>
      <c r="C611" s="190"/>
      <c r="D611" s="190"/>
      <c r="E611" s="275"/>
      <c r="F611" s="192"/>
      <c r="G611" s="190"/>
      <c r="H611" s="193"/>
      <c r="I611" s="276"/>
      <c r="J611" s="194"/>
      <c r="K611" s="195">
        <f t="shared" si="55"/>
        <v>31</v>
      </c>
      <c r="L611" s="195">
        <f t="shared" si="55"/>
        <v>31</v>
      </c>
      <c r="M611" s="190"/>
      <c r="N611" s="196"/>
      <c r="O611" s="197"/>
      <c r="P611" s="198" t="str">
        <f t="shared" si="54"/>
        <v/>
      </c>
    </row>
    <row r="612" spans="2:16" x14ac:dyDescent="0.35">
      <c r="B612" s="190"/>
      <c r="C612" s="190"/>
      <c r="D612" s="190"/>
      <c r="E612" s="275"/>
      <c r="F612" s="192"/>
      <c r="G612" s="190"/>
      <c r="H612" s="193"/>
      <c r="I612" s="276"/>
      <c r="J612" s="194"/>
      <c r="K612" s="195">
        <f t="shared" si="55"/>
        <v>31</v>
      </c>
      <c r="L612" s="195">
        <f t="shared" si="55"/>
        <v>31</v>
      </c>
      <c r="M612" s="190"/>
      <c r="N612" s="196"/>
      <c r="O612" s="197"/>
      <c r="P612" s="198" t="str">
        <f t="shared" si="54"/>
        <v/>
      </c>
    </row>
    <row r="613" spans="2:16" x14ac:dyDescent="0.35">
      <c r="B613" s="190"/>
      <c r="C613" s="190"/>
      <c r="D613" s="190"/>
      <c r="E613" s="275"/>
      <c r="F613" s="192"/>
      <c r="G613" s="190"/>
      <c r="H613" s="193"/>
      <c r="I613" s="276"/>
      <c r="J613" s="194"/>
      <c r="K613" s="195">
        <f t="shared" si="55"/>
        <v>31</v>
      </c>
      <c r="L613" s="195">
        <f t="shared" si="55"/>
        <v>31</v>
      </c>
      <c r="M613" s="190"/>
      <c r="N613" s="196"/>
      <c r="O613" s="197"/>
      <c r="P613" s="198" t="str">
        <f t="shared" si="54"/>
        <v/>
      </c>
    </row>
    <row r="614" spans="2:16" x14ac:dyDescent="0.35">
      <c r="B614" s="190"/>
      <c r="C614" s="190"/>
      <c r="D614" s="190"/>
      <c r="E614" s="275"/>
      <c r="F614" s="192"/>
      <c r="G614" s="190"/>
      <c r="H614" s="193"/>
      <c r="I614" s="276"/>
      <c r="J614" s="194"/>
      <c r="K614" s="195">
        <f t="shared" si="55"/>
        <v>31</v>
      </c>
      <c r="L614" s="195">
        <f t="shared" si="55"/>
        <v>31</v>
      </c>
      <c r="M614" s="190"/>
      <c r="N614" s="196"/>
      <c r="O614" s="197"/>
      <c r="P614" s="198" t="str">
        <f t="shared" si="54"/>
        <v/>
      </c>
    </row>
    <row r="615" spans="2:16" x14ac:dyDescent="0.35">
      <c r="B615" s="190"/>
      <c r="C615" s="190"/>
      <c r="D615" s="190"/>
      <c r="E615" s="275"/>
      <c r="F615" s="192"/>
      <c r="G615" s="190"/>
      <c r="H615" s="193"/>
      <c r="I615" s="276"/>
      <c r="J615" s="194"/>
      <c r="K615" s="195">
        <f t="shared" si="55"/>
        <v>31</v>
      </c>
      <c r="L615" s="195">
        <f t="shared" si="55"/>
        <v>31</v>
      </c>
      <c r="M615" s="190"/>
      <c r="N615" s="196"/>
      <c r="O615" s="197"/>
      <c r="P615" s="198" t="str">
        <f t="shared" si="54"/>
        <v/>
      </c>
    </row>
    <row r="616" spans="2:16" x14ac:dyDescent="0.35">
      <c r="B616" s="190"/>
      <c r="C616" s="190"/>
      <c r="D616" s="190"/>
      <c r="E616" s="275"/>
      <c r="F616" s="192"/>
      <c r="G616" s="190"/>
      <c r="H616" s="193"/>
      <c r="I616" s="276"/>
      <c r="J616" s="194"/>
      <c r="K616" s="195">
        <f t="shared" si="55"/>
        <v>31</v>
      </c>
      <c r="L616" s="195">
        <f t="shared" si="55"/>
        <v>31</v>
      </c>
      <c r="M616" s="190"/>
      <c r="N616" s="196"/>
      <c r="O616" s="197"/>
      <c r="P616" s="198" t="str">
        <f t="shared" si="54"/>
        <v/>
      </c>
    </row>
    <row r="617" spans="2:16" x14ac:dyDescent="0.35">
      <c r="B617" s="190"/>
      <c r="C617" s="190"/>
      <c r="D617" s="190"/>
      <c r="E617" s="275"/>
      <c r="F617" s="192"/>
      <c r="G617" s="190"/>
      <c r="H617" s="193"/>
      <c r="I617" s="276"/>
      <c r="J617" s="194"/>
      <c r="K617" s="195">
        <f t="shared" si="55"/>
        <v>31</v>
      </c>
      <c r="L617" s="195">
        <f t="shared" si="55"/>
        <v>31</v>
      </c>
      <c r="M617" s="190"/>
      <c r="N617" s="196"/>
      <c r="O617" s="197"/>
      <c r="P617" s="198" t="str">
        <f t="shared" si="54"/>
        <v/>
      </c>
    </row>
    <row r="618" spans="2:16" x14ac:dyDescent="0.35">
      <c r="B618" s="190"/>
      <c r="C618" s="190"/>
      <c r="D618" s="190"/>
      <c r="E618" s="275"/>
      <c r="F618" s="192"/>
      <c r="G618" s="190"/>
      <c r="H618" s="193"/>
      <c r="I618" s="276"/>
      <c r="J618" s="194"/>
      <c r="K618" s="195">
        <f t="shared" si="55"/>
        <v>31</v>
      </c>
      <c r="L618" s="195">
        <f t="shared" si="55"/>
        <v>31</v>
      </c>
      <c r="M618" s="190"/>
      <c r="N618" s="196"/>
      <c r="O618" s="197"/>
      <c r="P618" s="198" t="str">
        <f t="shared" si="54"/>
        <v/>
      </c>
    </row>
    <row r="619" spans="2:16" x14ac:dyDescent="0.35">
      <c r="B619" s="190"/>
      <c r="C619" s="190"/>
      <c r="D619" s="190"/>
      <c r="E619" s="275"/>
      <c r="F619" s="192"/>
      <c r="G619" s="190"/>
      <c r="H619" s="193"/>
      <c r="I619" s="276"/>
      <c r="J619" s="194"/>
      <c r="K619" s="195">
        <f t="shared" si="55"/>
        <v>31</v>
      </c>
      <c r="L619" s="195">
        <f t="shared" si="55"/>
        <v>31</v>
      </c>
      <c r="M619" s="190"/>
      <c r="N619" s="196"/>
      <c r="O619" s="197"/>
      <c r="P619" s="198" t="str">
        <f t="shared" si="54"/>
        <v/>
      </c>
    </row>
    <row r="620" spans="2:16" x14ac:dyDescent="0.35">
      <c r="F620" s="185"/>
      <c r="P620" s="109"/>
    </row>
    <row r="621" spans="2:16" x14ac:dyDescent="0.35">
      <c r="F621" s="185"/>
      <c r="P621" s="109"/>
    </row>
    <row r="622" spans="2:16" x14ac:dyDescent="0.35">
      <c r="F622" s="185"/>
      <c r="P622" s="109"/>
    </row>
    <row r="623" spans="2:16" x14ac:dyDescent="0.35">
      <c r="F623" s="185"/>
      <c r="P623" s="109"/>
    </row>
    <row r="624" spans="2:16" x14ac:dyDescent="0.35">
      <c r="F624" s="185"/>
      <c r="P624" s="109"/>
    </row>
    <row r="625" spans="6:16" x14ac:dyDescent="0.35">
      <c r="F625" s="185"/>
      <c r="P625" s="109"/>
    </row>
    <row r="626" spans="6:16" x14ac:dyDescent="0.35">
      <c r="F626" s="185"/>
      <c r="P626" s="109"/>
    </row>
    <row r="627" spans="6:16" x14ac:dyDescent="0.35">
      <c r="F627" s="185"/>
      <c r="P627" s="109"/>
    </row>
    <row r="628" spans="6:16" x14ac:dyDescent="0.35">
      <c r="F628" s="185"/>
      <c r="P628" s="109"/>
    </row>
    <row r="629" spans="6:16" x14ac:dyDescent="0.35">
      <c r="F629" s="185"/>
      <c r="P629" s="109"/>
    </row>
    <row r="630" spans="6:16" x14ac:dyDescent="0.35">
      <c r="F630" s="185"/>
      <c r="P630" s="109"/>
    </row>
    <row r="631" spans="6:16" x14ac:dyDescent="0.35">
      <c r="F631" s="185"/>
      <c r="P631" s="109"/>
    </row>
    <row r="632" spans="6:16" x14ac:dyDescent="0.35">
      <c r="F632" s="185"/>
      <c r="P632" s="109"/>
    </row>
    <row r="633" spans="6:16" x14ac:dyDescent="0.35">
      <c r="F633" s="185"/>
      <c r="P633" s="109"/>
    </row>
    <row r="634" spans="6:16" x14ac:dyDescent="0.35">
      <c r="F634" s="185"/>
      <c r="P634" s="109"/>
    </row>
    <row r="635" spans="6:16" x14ac:dyDescent="0.35">
      <c r="F635" s="185"/>
      <c r="P635" s="109"/>
    </row>
    <row r="636" spans="6:16" x14ac:dyDescent="0.35">
      <c r="F636" s="185"/>
      <c r="P636" s="109"/>
    </row>
    <row r="637" spans="6:16" x14ac:dyDescent="0.35">
      <c r="F637" s="185"/>
      <c r="P637" s="109"/>
    </row>
    <row r="638" spans="6:16" x14ac:dyDescent="0.35">
      <c r="F638" s="185"/>
      <c r="P638" s="109"/>
    </row>
    <row r="639" spans="6:16" x14ac:dyDescent="0.35">
      <c r="F639" s="185"/>
      <c r="P639" s="109"/>
    </row>
    <row r="640" spans="6:16" x14ac:dyDescent="0.35">
      <c r="F640" s="185"/>
      <c r="P640" s="109"/>
    </row>
    <row r="641" spans="6:16" x14ac:dyDescent="0.35">
      <c r="F641" s="185"/>
      <c r="P641" s="109"/>
    </row>
    <row r="642" spans="6:16" x14ac:dyDescent="0.35">
      <c r="F642" s="185"/>
      <c r="P642" s="109"/>
    </row>
    <row r="643" spans="6:16" x14ac:dyDescent="0.35">
      <c r="F643" s="185"/>
      <c r="P643" s="109"/>
    </row>
    <row r="644" spans="6:16" x14ac:dyDescent="0.35">
      <c r="F644" s="185"/>
      <c r="P644" s="109"/>
    </row>
    <row r="645" spans="6:16" x14ac:dyDescent="0.35">
      <c r="F645" s="185"/>
      <c r="P645" s="109"/>
    </row>
    <row r="646" spans="6:16" x14ac:dyDescent="0.35">
      <c r="F646" s="185"/>
      <c r="P646" s="109"/>
    </row>
    <row r="647" spans="6:16" x14ac:dyDescent="0.35">
      <c r="F647" s="185"/>
      <c r="P647" s="109"/>
    </row>
    <row r="648" spans="6:16" x14ac:dyDescent="0.35">
      <c r="F648" s="185"/>
      <c r="P648" s="109"/>
    </row>
    <row r="649" spans="6:16" x14ac:dyDescent="0.35">
      <c r="F649" s="185"/>
      <c r="P649" s="109"/>
    </row>
    <row r="650" spans="6:16" x14ac:dyDescent="0.35">
      <c r="F650" s="185"/>
      <c r="P650" s="109"/>
    </row>
    <row r="651" spans="6:16" x14ac:dyDescent="0.35">
      <c r="F651" s="185"/>
      <c r="P651" s="109"/>
    </row>
    <row r="652" spans="6:16" x14ac:dyDescent="0.35">
      <c r="F652" s="185"/>
      <c r="P652" s="109"/>
    </row>
    <row r="653" spans="6:16" x14ac:dyDescent="0.35">
      <c r="F653" s="185"/>
      <c r="P653" s="109"/>
    </row>
    <row r="654" spans="6:16" x14ac:dyDescent="0.35">
      <c r="F654" s="185"/>
      <c r="P654" s="109"/>
    </row>
    <row r="655" spans="6:16" x14ac:dyDescent="0.35">
      <c r="F655" s="185"/>
      <c r="P655" s="109"/>
    </row>
    <row r="656" spans="6:16" x14ac:dyDescent="0.35">
      <c r="F656" s="185"/>
      <c r="P656" s="109"/>
    </row>
    <row r="657" spans="6:16" x14ac:dyDescent="0.35">
      <c r="F657" s="185"/>
      <c r="P657" s="109"/>
    </row>
    <row r="658" spans="6:16" x14ac:dyDescent="0.35">
      <c r="F658" s="185"/>
      <c r="P658" s="109"/>
    </row>
    <row r="659" spans="6:16" x14ac:dyDescent="0.35">
      <c r="F659" s="185"/>
      <c r="P659" s="109"/>
    </row>
    <row r="660" spans="6:16" x14ac:dyDescent="0.35">
      <c r="F660" s="185"/>
      <c r="P660" s="109"/>
    </row>
    <row r="661" spans="6:16" x14ac:dyDescent="0.35">
      <c r="F661" s="185"/>
      <c r="P661" s="109"/>
    </row>
    <row r="662" spans="6:16" x14ac:dyDescent="0.35">
      <c r="F662" s="185"/>
      <c r="P662" s="109"/>
    </row>
    <row r="663" spans="6:16" x14ac:dyDescent="0.35">
      <c r="F663" s="185"/>
      <c r="P663" s="109"/>
    </row>
    <row r="664" spans="6:16" x14ac:dyDescent="0.35">
      <c r="F664" s="185"/>
      <c r="P664" s="109"/>
    </row>
    <row r="665" spans="6:16" x14ac:dyDescent="0.35">
      <c r="F665" s="185"/>
      <c r="P665" s="109"/>
    </row>
    <row r="666" spans="6:16" x14ac:dyDescent="0.35">
      <c r="F666" s="185"/>
      <c r="P666" s="109"/>
    </row>
    <row r="667" spans="6:16" x14ac:dyDescent="0.35">
      <c r="F667" s="185"/>
      <c r="P667" s="109"/>
    </row>
    <row r="668" spans="6:16" x14ac:dyDescent="0.35">
      <c r="F668" s="185"/>
      <c r="P668" s="109"/>
    </row>
    <row r="669" spans="6:16" x14ac:dyDescent="0.35">
      <c r="F669" s="185"/>
      <c r="P669" s="109"/>
    </row>
    <row r="670" spans="6:16" x14ac:dyDescent="0.35">
      <c r="F670" s="185"/>
      <c r="P670" s="109"/>
    </row>
    <row r="671" spans="6:16" x14ac:dyDescent="0.35">
      <c r="F671" s="185"/>
      <c r="P671" s="109"/>
    </row>
    <row r="672" spans="6:16" x14ac:dyDescent="0.35">
      <c r="F672" s="185"/>
      <c r="P672" s="109"/>
    </row>
    <row r="673" spans="6:16" x14ac:dyDescent="0.35">
      <c r="F673" s="185"/>
      <c r="P673" s="109"/>
    </row>
    <row r="674" spans="6:16" x14ac:dyDescent="0.35">
      <c r="F674" s="185"/>
      <c r="P674" s="109"/>
    </row>
    <row r="675" spans="6:16" x14ac:dyDescent="0.35">
      <c r="F675" s="185"/>
      <c r="P675" s="109"/>
    </row>
    <row r="676" spans="6:16" x14ac:dyDescent="0.35">
      <c r="F676" s="185"/>
      <c r="P676" s="109"/>
    </row>
    <row r="677" spans="6:16" x14ac:dyDescent="0.35">
      <c r="F677" s="185"/>
      <c r="P677" s="109"/>
    </row>
    <row r="678" spans="6:16" x14ac:dyDescent="0.35">
      <c r="F678" s="185"/>
      <c r="P678" s="109"/>
    </row>
    <row r="679" spans="6:16" x14ac:dyDescent="0.35">
      <c r="F679" s="185"/>
      <c r="P679" s="109"/>
    </row>
    <row r="680" spans="6:16" x14ac:dyDescent="0.35">
      <c r="F680" s="185"/>
      <c r="P680" s="109"/>
    </row>
    <row r="681" spans="6:16" x14ac:dyDescent="0.35">
      <c r="F681" s="185"/>
      <c r="P681" s="109"/>
    </row>
    <row r="682" spans="6:16" x14ac:dyDescent="0.35">
      <c r="F682" s="185"/>
      <c r="P682" s="109"/>
    </row>
    <row r="683" spans="6:16" x14ac:dyDescent="0.35">
      <c r="F683" s="185"/>
      <c r="P683" s="109"/>
    </row>
    <row r="684" spans="6:16" x14ac:dyDescent="0.35">
      <c r="F684" s="185"/>
      <c r="P684" s="109"/>
    </row>
    <row r="685" spans="6:16" x14ac:dyDescent="0.35">
      <c r="F685" s="185"/>
      <c r="P685" s="109"/>
    </row>
    <row r="686" spans="6:16" x14ac:dyDescent="0.35">
      <c r="F686" s="185"/>
      <c r="P686" s="109"/>
    </row>
    <row r="687" spans="6:16" x14ac:dyDescent="0.35">
      <c r="F687" s="185"/>
      <c r="P687" s="109"/>
    </row>
    <row r="688" spans="6:16" x14ac:dyDescent="0.35">
      <c r="F688" s="185"/>
      <c r="P688" s="109"/>
    </row>
    <row r="689" spans="6:16" x14ac:dyDescent="0.35">
      <c r="F689" s="185"/>
      <c r="P689" s="109"/>
    </row>
    <row r="690" spans="6:16" x14ac:dyDescent="0.35">
      <c r="F690" s="185"/>
      <c r="P690" s="109"/>
    </row>
    <row r="691" spans="6:16" x14ac:dyDescent="0.35">
      <c r="F691" s="185"/>
      <c r="P691" s="109"/>
    </row>
    <row r="692" spans="6:16" x14ac:dyDescent="0.35">
      <c r="F692" s="185"/>
      <c r="P692" s="109"/>
    </row>
    <row r="693" spans="6:16" x14ac:dyDescent="0.35">
      <c r="F693" s="185"/>
      <c r="P693" s="109"/>
    </row>
    <row r="694" spans="6:16" x14ac:dyDescent="0.35">
      <c r="F694" s="185"/>
      <c r="P694" s="109"/>
    </row>
    <row r="695" spans="6:16" x14ac:dyDescent="0.35">
      <c r="F695" s="185"/>
      <c r="P695" s="109"/>
    </row>
    <row r="696" spans="6:16" x14ac:dyDescent="0.35">
      <c r="F696" s="185"/>
      <c r="P696" s="109"/>
    </row>
    <row r="697" spans="6:16" x14ac:dyDescent="0.35">
      <c r="F697" s="185"/>
      <c r="P697" s="109"/>
    </row>
    <row r="698" spans="6:16" x14ac:dyDescent="0.35">
      <c r="F698" s="185"/>
      <c r="P698" s="109"/>
    </row>
    <row r="699" spans="6:16" x14ac:dyDescent="0.35">
      <c r="F699" s="185"/>
      <c r="P699" s="109"/>
    </row>
    <row r="700" spans="6:16" x14ac:dyDescent="0.35">
      <c r="F700" s="185"/>
      <c r="P700" s="109"/>
    </row>
    <row r="701" spans="6:16" x14ac:dyDescent="0.35">
      <c r="F701" s="185"/>
      <c r="P701" s="109"/>
    </row>
    <row r="702" spans="6:16" x14ac:dyDescent="0.35">
      <c r="F702" s="185"/>
      <c r="P702" s="109"/>
    </row>
    <row r="703" spans="6:16" x14ac:dyDescent="0.35">
      <c r="F703" s="185"/>
      <c r="P703" s="109"/>
    </row>
    <row r="704" spans="6:16" x14ac:dyDescent="0.35">
      <c r="F704" s="185"/>
      <c r="P704" s="109"/>
    </row>
    <row r="705" spans="6:16" x14ac:dyDescent="0.35">
      <c r="F705" s="185"/>
      <c r="P705" s="109"/>
    </row>
    <row r="706" spans="6:16" x14ac:dyDescent="0.35">
      <c r="F706" s="185"/>
      <c r="P706" s="109"/>
    </row>
    <row r="707" spans="6:16" x14ac:dyDescent="0.35">
      <c r="F707" s="185"/>
      <c r="P707" s="109"/>
    </row>
    <row r="708" spans="6:16" x14ac:dyDescent="0.35">
      <c r="F708" s="185"/>
      <c r="P708" s="109"/>
    </row>
    <row r="709" spans="6:16" x14ac:dyDescent="0.35">
      <c r="F709" s="185"/>
      <c r="P709" s="109"/>
    </row>
    <row r="710" spans="6:16" x14ac:dyDescent="0.35">
      <c r="F710" s="185"/>
      <c r="P710" s="109"/>
    </row>
    <row r="711" spans="6:16" x14ac:dyDescent="0.35">
      <c r="F711" s="185"/>
      <c r="P711" s="109"/>
    </row>
    <row r="712" spans="6:16" x14ac:dyDescent="0.35">
      <c r="F712" s="185"/>
      <c r="P712" s="109"/>
    </row>
    <row r="713" spans="6:16" x14ac:dyDescent="0.35">
      <c r="F713" s="185"/>
      <c r="P713" s="109"/>
    </row>
    <row r="714" spans="6:16" x14ac:dyDescent="0.35">
      <c r="F714" s="185"/>
      <c r="P714" s="109"/>
    </row>
    <row r="715" spans="6:16" x14ac:dyDescent="0.35">
      <c r="F715" s="185"/>
      <c r="P715" s="109"/>
    </row>
    <row r="716" spans="6:16" x14ac:dyDescent="0.35">
      <c r="F716" s="185"/>
      <c r="P716" s="109"/>
    </row>
    <row r="717" spans="6:16" x14ac:dyDescent="0.35">
      <c r="F717" s="185"/>
      <c r="P717" s="109"/>
    </row>
    <row r="718" spans="6:16" x14ac:dyDescent="0.35">
      <c r="F718" s="185"/>
      <c r="P718" s="109"/>
    </row>
    <row r="719" spans="6:16" x14ac:dyDescent="0.35">
      <c r="F719" s="185"/>
      <c r="P719" s="109"/>
    </row>
    <row r="720" spans="6:16" x14ac:dyDescent="0.35">
      <c r="F720" s="185"/>
      <c r="P720" s="109"/>
    </row>
    <row r="721" spans="6:16" x14ac:dyDescent="0.35">
      <c r="F721" s="185"/>
      <c r="P721" s="109"/>
    </row>
    <row r="722" spans="6:16" x14ac:dyDescent="0.35">
      <c r="F722" s="185"/>
      <c r="P722" s="109"/>
    </row>
    <row r="723" spans="6:16" x14ac:dyDescent="0.35">
      <c r="F723" s="185"/>
      <c r="P723" s="109"/>
    </row>
    <row r="724" spans="6:16" x14ac:dyDescent="0.35">
      <c r="F724" s="185"/>
      <c r="P724" s="109"/>
    </row>
    <row r="725" spans="6:16" x14ac:dyDescent="0.35">
      <c r="F725" s="185"/>
      <c r="P725" s="109"/>
    </row>
    <row r="726" spans="6:16" x14ac:dyDescent="0.35">
      <c r="F726" s="185"/>
      <c r="P726" s="109"/>
    </row>
    <row r="727" spans="6:16" x14ac:dyDescent="0.35">
      <c r="F727" s="185"/>
      <c r="P727" s="109"/>
    </row>
    <row r="728" spans="6:16" x14ac:dyDescent="0.35">
      <c r="F728" s="185"/>
      <c r="P728" s="109"/>
    </row>
    <row r="729" spans="6:16" x14ac:dyDescent="0.35">
      <c r="F729" s="185"/>
      <c r="P729" s="109"/>
    </row>
    <row r="730" spans="6:16" x14ac:dyDescent="0.35">
      <c r="F730" s="185"/>
      <c r="P730" s="109"/>
    </row>
    <row r="731" spans="6:16" x14ac:dyDescent="0.35">
      <c r="F731" s="185"/>
      <c r="P731" s="109"/>
    </row>
    <row r="732" spans="6:16" x14ac:dyDescent="0.35">
      <c r="F732" s="185"/>
      <c r="P732" s="109"/>
    </row>
    <row r="733" spans="6:16" x14ac:dyDescent="0.35">
      <c r="F733" s="185"/>
      <c r="P733" s="109"/>
    </row>
    <row r="734" spans="6:16" x14ac:dyDescent="0.35">
      <c r="F734" s="185"/>
      <c r="P734" s="109"/>
    </row>
    <row r="735" spans="6:16" x14ac:dyDescent="0.35">
      <c r="F735" s="185"/>
      <c r="P735" s="109"/>
    </row>
    <row r="736" spans="6:16" x14ac:dyDescent="0.35">
      <c r="F736" s="185"/>
      <c r="P736" s="109"/>
    </row>
    <row r="737" spans="6:16" x14ac:dyDescent="0.35">
      <c r="F737" s="185"/>
      <c r="P737" s="109"/>
    </row>
    <row r="738" spans="6:16" x14ac:dyDescent="0.35">
      <c r="F738" s="185"/>
      <c r="P738" s="109"/>
    </row>
    <row r="739" spans="6:16" x14ac:dyDescent="0.35">
      <c r="F739" s="185"/>
      <c r="P739" s="109"/>
    </row>
    <row r="740" spans="6:16" x14ac:dyDescent="0.35">
      <c r="F740" s="185"/>
      <c r="P740" s="109"/>
    </row>
    <row r="741" spans="6:16" x14ac:dyDescent="0.35">
      <c r="F741" s="185"/>
      <c r="P741" s="109"/>
    </row>
    <row r="742" spans="6:16" x14ac:dyDescent="0.35">
      <c r="F742" s="185"/>
      <c r="P742" s="109"/>
    </row>
    <row r="743" spans="6:16" x14ac:dyDescent="0.35">
      <c r="F743" s="185"/>
      <c r="P743" s="109"/>
    </row>
    <row r="744" spans="6:16" x14ac:dyDescent="0.35">
      <c r="F744" s="185"/>
      <c r="P744" s="109"/>
    </row>
    <row r="745" spans="6:16" x14ac:dyDescent="0.35">
      <c r="F745" s="185"/>
      <c r="P745" s="109"/>
    </row>
    <row r="746" spans="6:16" x14ac:dyDescent="0.35">
      <c r="F746" s="185"/>
      <c r="P746" s="109"/>
    </row>
    <row r="747" spans="6:16" x14ac:dyDescent="0.35">
      <c r="F747" s="185"/>
      <c r="P747" s="109"/>
    </row>
    <row r="748" spans="6:16" x14ac:dyDescent="0.35">
      <c r="F748" s="185"/>
      <c r="P748" s="109"/>
    </row>
    <row r="749" spans="6:16" x14ac:dyDescent="0.35">
      <c r="F749" s="185"/>
      <c r="P749" s="109"/>
    </row>
    <row r="750" spans="6:16" x14ac:dyDescent="0.35">
      <c r="F750" s="185"/>
      <c r="P750" s="109"/>
    </row>
    <row r="751" spans="6:16" x14ac:dyDescent="0.35">
      <c r="F751" s="185"/>
      <c r="P751" s="109"/>
    </row>
    <row r="752" spans="6:16" x14ac:dyDescent="0.35">
      <c r="F752" s="185"/>
      <c r="P752" s="109"/>
    </row>
    <row r="753" spans="6:16" x14ac:dyDescent="0.35">
      <c r="F753" s="185"/>
      <c r="P753" s="109"/>
    </row>
    <row r="754" spans="6:16" x14ac:dyDescent="0.35">
      <c r="F754" s="185"/>
      <c r="P754" s="109"/>
    </row>
    <row r="755" spans="6:16" x14ac:dyDescent="0.35">
      <c r="F755" s="185"/>
      <c r="P755" s="109"/>
    </row>
    <row r="756" spans="6:16" x14ac:dyDescent="0.35">
      <c r="F756" s="185"/>
      <c r="P756" s="109"/>
    </row>
    <row r="757" spans="6:16" x14ac:dyDescent="0.35">
      <c r="F757" s="185"/>
      <c r="P757" s="109"/>
    </row>
    <row r="758" spans="6:16" x14ac:dyDescent="0.35">
      <c r="F758" s="185"/>
      <c r="P758" s="109"/>
    </row>
    <row r="759" spans="6:16" x14ac:dyDescent="0.35">
      <c r="F759" s="185"/>
      <c r="P759" s="109"/>
    </row>
    <row r="760" spans="6:16" x14ac:dyDescent="0.35">
      <c r="F760" s="185"/>
      <c r="P760" s="109"/>
    </row>
    <row r="761" spans="6:16" x14ac:dyDescent="0.35">
      <c r="F761" s="185"/>
      <c r="P761" s="109"/>
    </row>
    <row r="762" spans="6:16" x14ac:dyDescent="0.35">
      <c r="F762" s="185"/>
      <c r="P762" s="109"/>
    </row>
    <row r="763" spans="6:16" x14ac:dyDescent="0.35">
      <c r="F763" s="185"/>
      <c r="P763" s="109"/>
    </row>
    <row r="764" spans="6:16" x14ac:dyDescent="0.35">
      <c r="F764" s="185"/>
      <c r="P764" s="109"/>
    </row>
    <row r="765" spans="6:16" x14ac:dyDescent="0.35">
      <c r="F765" s="185"/>
      <c r="P765" s="109"/>
    </row>
    <row r="766" spans="6:16" x14ac:dyDescent="0.35">
      <c r="F766" s="185"/>
      <c r="P766" s="109"/>
    </row>
    <row r="767" spans="6:16" x14ac:dyDescent="0.35">
      <c r="F767" s="185"/>
      <c r="P767" s="109"/>
    </row>
    <row r="768" spans="6:16" x14ac:dyDescent="0.35">
      <c r="F768" s="185"/>
      <c r="P768" s="109"/>
    </row>
    <row r="769" spans="6:16" x14ac:dyDescent="0.35">
      <c r="F769" s="185"/>
      <c r="P769" s="109"/>
    </row>
    <row r="770" spans="6:16" x14ac:dyDescent="0.35">
      <c r="F770" s="185"/>
      <c r="P770" s="109"/>
    </row>
    <row r="771" spans="6:16" x14ac:dyDescent="0.35">
      <c r="F771" s="185"/>
      <c r="P771" s="109"/>
    </row>
    <row r="772" spans="6:16" x14ac:dyDescent="0.35">
      <c r="F772" s="185"/>
      <c r="P772" s="109"/>
    </row>
    <row r="773" spans="6:16" x14ac:dyDescent="0.35">
      <c r="F773" s="185"/>
      <c r="P773" s="109"/>
    </row>
    <row r="774" spans="6:16" x14ac:dyDescent="0.35">
      <c r="F774" s="185"/>
      <c r="P774" s="109"/>
    </row>
    <row r="775" spans="6:16" x14ac:dyDescent="0.35">
      <c r="F775" s="185"/>
      <c r="P775" s="109"/>
    </row>
    <row r="776" spans="6:16" x14ac:dyDescent="0.35">
      <c r="F776" s="185"/>
      <c r="P776" s="109"/>
    </row>
    <row r="777" spans="6:16" x14ac:dyDescent="0.35">
      <c r="F777" s="185"/>
      <c r="P777" s="109"/>
    </row>
    <row r="778" spans="6:16" x14ac:dyDescent="0.35">
      <c r="F778" s="185"/>
      <c r="P778" s="109"/>
    </row>
    <row r="779" spans="6:16" x14ac:dyDescent="0.35">
      <c r="F779" s="185"/>
      <c r="P779" s="109"/>
    </row>
    <row r="780" spans="6:16" x14ac:dyDescent="0.35">
      <c r="F780" s="185"/>
      <c r="P780" s="109"/>
    </row>
    <row r="781" spans="6:16" x14ac:dyDescent="0.35">
      <c r="F781" s="185"/>
      <c r="P781" s="109"/>
    </row>
    <row r="782" spans="6:16" x14ac:dyDescent="0.35">
      <c r="F782" s="185"/>
      <c r="P782" s="109"/>
    </row>
    <row r="783" spans="6:16" x14ac:dyDescent="0.35">
      <c r="F783" s="185"/>
      <c r="P783" s="109"/>
    </row>
    <row r="784" spans="6:16" x14ac:dyDescent="0.35">
      <c r="F784" s="185"/>
      <c r="P784" s="109"/>
    </row>
    <row r="785" spans="6:16" x14ac:dyDescent="0.35">
      <c r="F785" s="185"/>
      <c r="P785" s="109"/>
    </row>
    <row r="786" spans="6:16" x14ac:dyDescent="0.35">
      <c r="F786" s="185"/>
      <c r="P786" s="109"/>
    </row>
    <row r="787" spans="6:16" x14ac:dyDescent="0.35">
      <c r="F787" s="185"/>
      <c r="P787" s="109"/>
    </row>
    <row r="788" spans="6:16" x14ac:dyDescent="0.35">
      <c r="F788" s="185"/>
      <c r="P788" s="109"/>
    </row>
    <row r="789" spans="6:16" x14ac:dyDescent="0.35">
      <c r="F789" s="185"/>
      <c r="P789" s="109"/>
    </row>
    <row r="790" spans="6:16" x14ac:dyDescent="0.35">
      <c r="F790" s="185"/>
      <c r="P790" s="109"/>
    </row>
    <row r="791" spans="6:16" x14ac:dyDescent="0.35">
      <c r="F791" s="185"/>
      <c r="P791" s="109"/>
    </row>
    <row r="792" spans="6:16" x14ac:dyDescent="0.35">
      <c r="F792" s="185"/>
      <c r="P792" s="109"/>
    </row>
    <row r="793" spans="6:16" x14ac:dyDescent="0.35">
      <c r="F793" s="185"/>
      <c r="P793" s="109"/>
    </row>
    <row r="794" spans="6:16" x14ac:dyDescent="0.35">
      <c r="F794" s="185"/>
      <c r="P794" s="109"/>
    </row>
    <row r="795" spans="6:16" x14ac:dyDescent="0.35">
      <c r="F795" s="185"/>
      <c r="P795" s="109"/>
    </row>
    <row r="796" spans="6:16" x14ac:dyDescent="0.35">
      <c r="F796" s="185"/>
      <c r="P796" s="109"/>
    </row>
    <row r="797" spans="6:16" x14ac:dyDescent="0.35">
      <c r="F797" s="185"/>
      <c r="P797" s="109"/>
    </row>
    <row r="798" spans="6:16" x14ac:dyDescent="0.35">
      <c r="F798" s="185"/>
      <c r="P798" s="109"/>
    </row>
    <row r="799" spans="6:16" x14ac:dyDescent="0.35">
      <c r="F799" s="185"/>
      <c r="P799" s="109"/>
    </row>
    <row r="800" spans="6:16" x14ac:dyDescent="0.35">
      <c r="F800" s="185"/>
      <c r="P800" s="109"/>
    </row>
    <row r="801" spans="6:16" x14ac:dyDescent="0.35">
      <c r="F801" s="185"/>
      <c r="P801" s="109"/>
    </row>
    <row r="802" spans="6:16" x14ac:dyDescent="0.35">
      <c r="F802" s="185"/>
      <c r="P802" s="109"/>
    </row>
    <row r="803" spans="6:16" x14ac:dyDescent="0.35">
      <c r="F803" s="185"/>
      <c r="P803" s="109"/>
    </row>
    <row r="804" spans="6:16" x14ac:dyDescent="0.35">
      <c r="F804" s="185"/>
      <c r="P804" s="109"/>
    </row>
    <row r="805" spans="6:16" x14ac:dyDescent="0.35">
      <c r="F805" s="185"/>
      <c r="P805" s="109"/>
    </row>
    <row r="806" spans="6:16" x14ac:dyDescent="0.35">
      <c r="F806" s="185"/>
      <c r="P806" s="109"/>
    </row>
    <row r="807" spans="6:16" x14ac:dyDescent="0.35">
      <c r="F807" s="185"/>
      <c r="P807" s="109"/>
    </row>
    <row r="808" spans="6:16" x14ac:dyDescent="0.35">
      <c r="F808" s="185"/>
      <c r="P808" s="109"/>
    </row>
    <row r="809" spans="6:16" x14ac:dyDescent="0.35">
      <c r="F809" s="185"/>
      <c r="P809" s="109"/>
    </row>
    <row r="810" spans="6:16" x14ac:dyDescent="0.35">
      <c r="F810" s="185"/>
      <c r="P810" s="109"/>
    </row>
    <row r="811" spans="6:16" x14ac:dyDescent="0.35">
      <c r="F811" s="185"/>
      <c r="P811" s="109"/>
    </row>
    <row r="812" spans="6:16" x14ac:dyDescent="0.35">
      <c r="F812" s="185"/>
      <c r="P812" s="109"/>
    </row>
    <row r="813" spans="6:16" x14ac:dyDescent="0.35">
      <c r="F813" s="185"/>
      <c r="P813" s="109"/>
    </row>
    <row r="814" spans="6:16" x14ac:dyDescent="0.35">
      <c r="F814" s="185"/>
      <c r="P814" s="109"/>
    </row>
    <row r="815" spans="6:16" x14ac:dyDescent="0.35">
      <c r="F815" s="185"/>
      <c r="P815" s="109"/>
    </row>
    <row r="816" spans="6:16" x14ac:dyDescent="0.35">
      <c r="F816" s="185"/>
      <c r="P816" s="109"/>
    </row>
    <row r="817" spans="6:16" x14ac:dyDescent="0.35">
      <c r="F817" s="185"/>
      <c r="P817" s="109"/>
    </row>
    <row r="818" spans="6:16" x14ac:dyDescent="0.35">
      <c r="F818" s="185"/>
      <c r="P818" s="109"/>
    </row>
    <row r="819" spans="6:16" x14ac:dyDescent="0.35">
      <c r="F819" s="185"/>
      <c r="P819" s="109"/>
    </row>
    <row r="820" spans="6:16" x14ac:dyDescent="0.35">
      <c r="F820" s="185"/>
      <c r="P820" s="109"/>
    </row>
    <row r="821" spans="6:16" x14ac:dyDescent="0.35">
      <c r="F821" s="185"/>
      <c r="P821" s="109"/>
    </row>
    <row r="822" spans="6:16" x14ac:dyDescent="0.35">
      <c r="F822" s="185"/>
      <c r="P822" s="109"/>
    </row>
    <row r="823" spans="6:16" x14ac:dyDescent="0.35">
      <c r="F823" s="185"/>
      <c r="P823" s="109"/>
    </row>
    <row r="824" spans="6:16" x14ac:dyDescent="0.35">
      <c r="F824" s="185"/>
      <c r="P824" s="109"/>
    </row>
    <row r="825" spans="6:16" x14ac:dyDescent="0.35">
      <c r="F825" s="185"/>
      <c r="P825" s="109"/>
    </row>
    <row r="826" spans="6:16" x14ac:dyDescent="0.35">
      <c r="F826" s="185"/>
      <c r="P826" s="109"/>
    </row>
    <row r="827" spans="6:16" x14ac:dyDescent="0.35">
      <c r="F827" s="185"/>
      <c r="P827" s="109"/>
    </row>
    <row r="828" spans="6:16" x14ac:dyDescent="0.35">
      <c r="F828" s="185"/>
      <c r="P828" s="109"/>
    </row>
    <row r="829" spans="6:16" x14ac:dyDescent="0.35">
      <c r="F829" s="185"/>
      <c r="P829" s="109"/>
    </row>
    <row r="830" spans="6:16" x14ac:dyDescent="0.35">
      <c r="F830" s="185"/>
      <c r="P830" s="109"/>
    </row>
    <row r="831" spans="6:16" x14ac:dyDescent="0.35">
      <c r="F831" s="185"/>
      <c r="P831" s="109"/>
    </row>
    <row r="832" spans="6:16" x14ac:dyDescent="0.35">
      <c r="F832" s="185"/>
      <c r="P832" s="109"/>
    </row>
    <row r="833" spans="6:16" x14ac:dyDescent="0.35">
      <c r="F833" s="185"/>
      <c r="P833" s="109"/>
    </row>
    <row r="834" spans="6:16" x14ac:dyDescent="0.35">
      <c r="F834" s="185"/>
      <c r="P834" s="109"/>
    </row>
    <row r="835" spans="6:16" x14ac:dyDescent="0.35">
      <c r="F835" s="185"/>
      <c r="P835" s="109"/>
    </row>
    <row r="836" spans="6:16" x14ac:dyDescent="0.35">
      <c r="F836" s="185"/>
      <c r="P836" s="109"/>
    </row>
    <row r="837" spans="6:16" x14ac:dyDescent="0.35">
      <c r="F837" s="185"/>
      <c r="P837" s="109"/>
    </row>
    <row r="838" spans="6:16" x14ac:dyDescent="0.35">
      <c r="F838" s="185"/>
      <c r="P838" s="109"/>
    </row>
    <row r="839" spans="6:16" x14ac:dyDescent="0.35">
      <c r="F839" s="185"/>
      <c r="P839" s="109"/>
    </row>
    <row r="840" spans="6:16" x14ac:dyDescent="0.35">
      <c r="F840" s="185"/>
      <c r="P840" s="109"/>
    </row>
    <row r="841" spans="6:16" x14ac:dyDescent="0.35">
      <c r="F841" s="185"/>
      <c r="P841" s="109"/>
    </row>
    <row r="842" spans="6:16" x14ac:dyDescent="0.35">
      <c r="F842" s="185"/>
      <c r="P842" s="109"/>
    </row>
    <row r="843" spans="6:16" x14ac:dyDescent="0.35">
      <c r="F843" s="185"/>
      <c r="P843" s="109"/>
    </row>
    <row r="844" spans="6:16" x14ac:dyDescent="0.35">
      <c r="F844" s="185"/>
      <c r="P844" s="109"/>
    </row>
    <row r="845" spans="6:16" x14ac:dyDescent="0.35">
      <c r="F845" s="185"/>
      <c r="P845" s="109"/>
    </row>
    <row r="846" spans="6:16" x14ac:dyDescent="0.35">
      <c r="F846" s="185"/>
      <c r="P846" s="109"/>
    </row>
    <row r="847" spans="6:16" x14ac:dyDescent="0.35">
      <c r="F847" s="185"/>
      <c r="P847" s="109"/>
    </row>
    <row r="848" spans="6:16" x14ac:dyDescent="0.35">
      <c r="F848" s="185"/>
      <c r="P848" s="109"/>
    </row>
    <row r="849" spans="6:16" x14ac:dyDescent="0.35">
      <c r="F849" s="185"/>
      <c r="P849" s="109"/>
    </row>
    <row r="850" spans="6:16" x14ac:dyDescent="0.35">
      <c r="F850" s="185"/>
      <c r="P850" s="109"/>
    </row>
    <row r="851" spans="6:16" x14ac:dyDescent="0.35">
      <c r="F851" s="185"/>
      <c r="P851" s="109"/>
    </row>
    <row r="852" spans="6:16" x14ac:dyDescent="0.35">
      <c r="F852" s="185"/>
      <c r="P852" s="109"/>
    </row>
    <row r="853" spans="6:16" x14ac:dyDescent="0.35">
      <c r="F853" s="185"/>
      <c r="P853" s="109"/>
    </row>
    <row r="854" spans="6:16" x14ac:dyDescent="0.35">
      <c r="F854" s="185"/>
      <c r="P854" s="109"/>
    </row>
    <row r="855" spans="6:16" x14ac:dyDescent="0.35">
      <c r="F855" s="185"/>
      <c r="P855" s="109"/>
    </row>
    <row r="856" spans="6:16" x14ac:dyDescent="0.35">
      <c r="F856" s="185"/>
      <c r="P856" s="109"/>
    </row>
    <row r="857" spans="6:16" x14ac:dyDescent="0.35">
      <c r="F857" s="185"/>
      <c r="P857" s="109"/>
    </row>
    <row r="858" spans="6:16" x14ac:dyDescent="0.35">
      <c r="F858" s="185"/>
    </row>
    <row r="859" spans="6:16" x14ac:dyDescent="0.35">
      <c r="F859" s="185"/>
    </row>
    <row r="860" spans="6:16" x14ac:dyDescent="0.35">
      <c r="F860" s="185"/>
    </row>
    <row r="861" spans="6:16" x14ac:dyDescent="0.35">
      <c r="F861" s="185"/>
    </row>
    <row r="862" spans="6:16" x14ac:dyDescent="0.35">
      <c r="F862" s="185"/>
    </row>
    <row r="863" spans="6:16" x14ac:dyDescent="0.35">
      <c r="F863" s="185"/>
    </row>
    <row r="864" spans="6:16" x14ac:dyDescent="0.35">
      <c r="F864" s="185"/>
    </row>
    <row r="865" spans="6:6" x14ac:dyDescent="0.35">
      <c r="F865" s="185"/>
    </row>
    <row r="866" spans="6:6" x14ac:dyDescent="0.35">
      <c r="F866" s="185"/>
    </row>
    <row r="867" spans="6:6" x14ac:dyDescent="0.35">
      <c r="F867" s="185"/>
    </row>
    <row r="868" spans="6:6" x14ac:dyDescent="0.35">
      <c r="F868" s="185"/>
    </row>
    <row r="869" spans="6:6" x14ac:dyDescent="0.35">
      <c r="F869" s="185"/>
    </row>
  </sheetData>
  <autoFilter ref="C7:AU7" xr:uid="{EA26D008-5C30-45AD-962E-8225C8C33A1A}"/>
  <dataValidations count="2">
    <dataValidation type="list" allowBlank="1" showInputMessage="1" showErrorMessage="1" sqref="D8:D435" xr:uid="{190CA9CC-2A55-47ED-A50D-689C377A1568}">
      <formula1>"Classic,Partial,Reno"</formula1>
    </dataValidation>
    <dataValidation type="list" allowBlank="1" showInputMessage="1" showErrorMessage="1" sqref="F8:F619" xr:uid="{13C30CD6-7678-483C-A727-D014DAD28F50}">
      <formula1>"Studio, 1 BR, 2 BR, 3 BR, 4 BR, 5 BR"</formula1>
    </dataValidation>
  </dataValidations>
  <pageMargins left="0.7" right="0.7" top="0.7" bottom="0.7" header="0.5" footer="0.5"/>
  <pageSetup scale="20" fitToHeight="990" orientation="landscape" useFirstPageNumber="1" r:id="rId1"/>
  <headerFooter alignWithMargins="0">
    <oddHeader>&amp;R&amp;B&amp;D &amp;T</oddHeader>
    <oddFooter>&amp;C&amp;B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Trend Health Score</vt:lpstr>
      <vt:lpstr>Anchors &amp; Notes</vt:lpstr>
      <vt:lpstr>T12</vt:lpstr>
      <vt:lpstr>Rent 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 Moondra</cp:lastModifiedBy>
  <dcterms:created xsi:type="dcterms:W3CDTF">2026-01-23T14:43:08Z</dcterms:created>
  <dcterms:modified xsi:type="dcterms:W3CDTF">2026-05-11T11:30:20Z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0x0101009EFA2F2A54220C47957FA428D2BB0D59</vt:lpwstr>
  </property>
  <property fmtid="{D5CDD505-2E9C-101B-9397-08002B2CF9AE}" pid="3" name="MediaServiceImageTags">
    <vt:lpwstr/>
  </property>
</Properties>
</file>